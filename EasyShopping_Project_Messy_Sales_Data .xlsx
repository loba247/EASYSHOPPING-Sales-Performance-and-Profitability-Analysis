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C:\Users\DELL\Desktop\data project\"/>
    </mc:Choice>
  </mc:AlternateContent>
  <xr:revisionPtr revIDLastSave="0" documentId="8_{9D3F2CE9-2B47-489A-9726-913E87D25495}" xr6:coauthVersionLast="47" xr6:coauthVersionMax="47" xr10:uidLastSave="{00000000-0000-0000-0000-000000000000}"/>
  <bookViews>
    <workbookView xWindow="-120" yWindow="-120" windowWidth="20730" windowHeight="11040" firstSheet="1" activeTab="5" xr2:uid="{00000000-000D-0000-FFFF-FFFF00000000}"/>
  </bookViews>
  <sheets>
    <sheet name="Dashboard" sheetId="9" r:id="rId1"/>
    <sheet name="WireFraming" sheetId="8" r:id="rId2"/>
    <sheet name="Pivot Table " sheetId="7" r:id="rId3"/>
    <sheet name="Calculated_Columns" sheetId="3" r:id="rId4"/>
    <sheet name="Cleaned_Data" sheetId="2" r:id="rId5"/>
    <sheet name="Raw_Data" sheetId="1" r:id="rId6"/>
  </sheets>
  <definedNames>
    <definedName name="Slicer_City2">#N/A</definedName>
    <definedName name="Slicer_Month">#N/A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 i="7" l="1"/>
  <c r="J17" i="7"/>
  <c r="J16" i="7"/>
  <c r="J15" i="7"/>
  <c r="A15" i="7"/>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J2" i="3"/>
  <c r="L2" i="3" s="1"/>
  <c r="J3" i="3"/>
  <c r="L3" i="3" s="1"/>
  <c r="J4" i="3"/>
  <c r="L4" i="3" s="1"/>
  <c r="J5" i="3"/>
  <c r="L5" i="3" s="1"/>
  <c r="J6" i="3"/>
  <c r="L6" i="3" s="1"/>
  <c r="J7" i="3"/>
  <c r="L7" i="3" s="1"/>
  <c r="J8" i="3"/>
  <c r="L8" i="3" s="1"/>
  <c r="J9" i="3"/>
  <c r="L9" i="3" s="1"/>
  <c r="J10" i="3"/>
  <c r="L10" i="3" s="1"/>
  <c r="J11" i="3"/>
  <c r="L11" i="3" s="1"/>
  <c r="J12" i="3"/>
  <c r="L12" i="3" s="1"/>
  <c r="J13" i="3"/>
  <c r="L13" i="3" s="1"/>
  <c r="J14" i="3"/>
  <c r="L14" i="3" s="1"/>
  <c r="J15" i="3"/>
  <c r="L15" i="3" s="1"/>
  <c r="J16" i="3"/>
  <c r="L16" i="3" s="1"/>
  <c r="J17" i="3"/>
  <c r="L17" i="3" s="1"/>
  <c r="J18" i="3"/>
  <c r="L18" i="3" s="1"/>
  <c r="J19" i="3"/>
  <c r="L19" i="3" s="1"/>
  <c r="J20" i="3"/>
  <c r="L20" i="3" s="1"/>
  <c r="J21" i="3"/>
  <c r="L21" i="3" s="1"/>
  <c r="J22" i="3"/>
  <c r="L22" i="3" s="1"/>
  <c r="J23" i="3"/>
  <c r="L23" i="3" s="1"/>
  <c r="J24" i="3"/>
  <c r="L24" i="3" s="1"/>
  <c r="J25" i="3"/>
  <c r="L25" i="3" s="1"/>
  <c r="J26" i="3"/>
  <c r="L26" i="3" s="1"/>
  <c r="J27" i="3"/>
  <c r="L27" i="3" s="1"/>
  <c r="J28" i="3"/>
  <c r="L28" i="3" s="1"/>
  <c r="J29" i="3"/>
  <c r="L29" i="3" s="1"/>
  <c r="J30" i="3"/>
  <c r="L30" i="3" s="1"/>
  <c r="J31" i="3"/>
  <c r="L31" i="3" s="1"/>
  <c r="J32" i="3"/>
  <c r="L32" i="3" s="1"/>
  <c r="J33" i="3"/>
  <c r="L33" i="3" s="1"/>
  <c r="J34" i="3"/>
  <c r="L34" i="3" s="1"/>
  <c r="J35" i="3"/>
  <c r="L35" i="3" s="1"/>
  <c r="J36" i="3"/>
  <c r="L36" i="3" s="1"/>
  <c r="J37" i="3"/>
  <c r="L37" i="3" s="1"/>
  <c r="J38" i="3"/>
  <c r="L38" i="3" s="1"/>
  <c r="J39" i="3"/>
  <c r="L39" i="3" s="1"/>
  <c r="J40" i="3"/>
  <c r="L40" i="3" s="1"/>
  <c r="J41" i="3"/>
  <c r="L41" i="3" s="1"/>
  <c r="J42" i="3"/>
  <c r="L42" i="3" s="1"/>
  <c r="J43" i="3"/>
  <c r="L43" i="3" s="1"/>
  <c r="J44" i="3"/>
  <c r="L44" i="3" s="1"/>
  <c r="J45" i="3"/>
  <c r="L45" i="3" s="1"/>
  <c r="J46" i="3"/>
  <c r="L46" i="3" s="1"/>
  <c r="J47" i="3"/>
  <c r="L47" i="3" s="1"/>
  <c r="J48" i="3"/>
  <c r="L48" i="3" s="1"/>
  <c r="J49" i="3"/>
  <c r="L49" i="3" s="1"/>
  <c r="J50" i="3"/>
  <c r="L50" i="3" s="1"/>
  <c r="J51" i="3"/>
  <c r="L51" i="3" s="1"/>
  <c r="J52" i="3"/>
  <c r="L52" i="3" s="1"/>
  <c r="J53" i="3"/>
  <c r="L53" i="3" s="1"/>
  <c r="J54" i="3"/>
  <c r="L54" i="3" s="1"/>
  <c r="J55" i="3"/>
  <c r="L55" i="3" s="1"/>
  <c r="J56" i="3"/>
  <c r="L56" i="3" s="1"/>
  <c r="J57" i="3"/>
  <c r="L57" i="3" s="1"/>
  <c r="J58" i="3"/>
  <c r="L58" i="3" s="1"/>
  <c r="J59" i="3"/>
  <c r="L59" i="3" s="1"/>
  <c r="J60" i="3"/>
  <c r="L60" i="3" s="1"/>
  <c r="J61" i="3"/>
  <c r="L61" i="3" s="1"/>
  <c r="J62" i="3"/>
  <c r="L62" i="3" s="1"/>
  <c r="J63" i="3"/>
  <c r="L63" i="3" s="1"/>
  <c r="J64" i="3"/>
  <c r="L64" i="3" s="1"/>
  <c r="J65" i="3"/>
  <c r="L65" i="3" s="1"/>
  <c r="J66" i="3"/>
  <c r="L66" i="3" s="1"/>
  <c r="J67" i="3"/>
  <c r="L67" i="3" s="1"/>
  <c r="J68" i="3"/>
  <c r="L68" i="3" s="1"/>
  <c r="J69" i="3"/>
  <c r="L69" i="3" s="1"/>
  <c r="J70" i="3"/>
  <c r="L70" i="3" s="1"/>
  <c r="J71" i="3"/>
  <c r="L71" i="3" s="1"/>
  <c r="J72" i="3"/>
  <c r="L72" i="3" s="1"/>
  <c r="J73" i="3"/>
  <c r="L73" i="3" s="1"/>
  <c r="J74" i="3"/>
  <c r="L74" i="3" s="1"/>
  <c r="J75" i="3"/>
  <c r="L75" i="3" s="1"/>
  <c r="J76" i="3"/>
  <c r="L76" i="3" s="1"/>
  <c r="J77" i="3"/>
  <c r="L77" i="3" s="1"/>
  <c r="J78" i="3"/>
  <c r="L78" i="3" s="1"/>
  <c r="J79" i="3"/>
  <c r="L79" i="3" s="1"/>
  <c r="J80" i="3"/>
  <c r="L80" i="3" s="1"/>
  <c r="J81" i="3"/>
  <c r="L81" i="3" s="1"/>
  <c r="J82" i="3"/>
  <c r="L82" i="3" s="1"/>
  <c r="J83" i="3"/>
  <c r="L83" i="3" s="1"/>
  <c r="J84" i="3"/>
  <c r="L84" i="3" s="1"/>
  <c r="J85" i="3"/>
  <c r="L85" i="3" s="1"/>
  <c r="J86" i="3"/>
  <c r="L86" i="3" s="1"/>
  <c r="J87" i="3"/>
  <c r="J88" i="3"/>
  <c r="J89" i="3"/>
  <c r="J90" i="3"/>
  <c r="L90" i="3" s="1"/>
  <c r="J91" i="3"/>
  <c r="L91" i="3" s="1"/>
  <c r="J92" i="3"/>
  <c r="L92" i="3" s="1"/>
  <c r="J93" i="3"/>
  <c r="L93" i="3" s="1"/>
  <c r="J94" i="3"/>
  <c r="L94" i="3" s="1"/>
  <c r="J95" i="3"/>
  <c r="L95" i="3" s="1"/>
  <c r="J96" i="3"/>
  <c r="L96" i="3" s="1"/>
  <c r="J97" i="3"/>
  <c r="L97" i="3" s="1"/>
  <c r="J98" i="3"/>
  <c r="L98" i="3" s="1"/>
  <c r="J99" i="3"/>
  <c r="L99" i="3" s="1"/>
  <c r="J100" i="3"/>
  <c r="L100" i="3" s="1"/>
  <c r="J101" i="3"/>
  <c r="L101" i="3" s="1"/>
  <c r="J102" i="3"/>
  <c r="L102" i="3" s="1"/>
  <c r="J103" i="3"/>
  <c r="L103" i="3" s="1"/>
  <c r="J104" i="3"/>
  <c r="L104" i="3" s="1"/>
  <c r="J105" i="3"/>
  <c r="L105" i="3" s="1"/>
  <c r="J106" i="3"/>
  <c r="L106" i="3" s="1"/>
  <c r="J107" i="3"/>
  <c r="L107" i="3" s="1"/>
  <c r="J108" i="3"/>
  <c r="L108" i="3" s="1"/>
  <c r="J109" i="3"/>
  <c r="L109" i="3" s="1"/>
  <c r="J110" i="3"/>
  <c r="L110" i="3" s="1"/>
  <c r="J111" i="3"/>
  <c r="L111" i="3" s="1"/>
  <c r="J112" i="3"/>
  <c r="L112" i="3" s="1"/>
  <c r="J113" i="3"/>
  <c r="L113" i="3" s="1"/>
  <c r="J114" i="3"/>
  <c r="L114" i="3" s="1"/>
  <c r="J115" i="3"/>
  <c r="L115" i="3" s="1"/>
  <c r="J116" i="3"/>
  <c r="L116" i="3" s="1"/>
  <c r="J117" i="3"/>
  <c r="L117" i="3" s="1"/>
  <c r="J118" i="3"/>
  <c r="L118" i="3" s="1"/>
  <c r="J119" i="3"/>
  <c r="L119" i="3" s="1"/>
  <c r="J120" i="3"/>
  <c r="L120" i="3" s="1"/>
  <c r="J121" i="3"/>
  <c r="L121" i="3" s="1"/>
  <c r="L87" i="3" l="1"/>
  <c r="M87" i="3"/>
  <c r="P87" i="3" s="1"/>
  <c r="Q87" i="3" s="1"/>
  <c r="L88" i="3"/>
  <c r="M88" i="3" s="1"/>
  <c r="P88" i="3" s="1"/>
  <c r="Q88" i="3" s="1"/>
  <c r="L89" i="3"/>
  <c r="M89" i="3" s="1"/>
  <c r="P89" i="3" s="1"/>
  <c r="Q89" i="3" s="1"/>
  <c r="M2" i="3"/>
  <c r="P2" i="3" s="1"/>
  <c r="Q2" i="3" s="1"/>
  <c r="M3" i="3"/>
  <c r="P3" i="3" s="1"/>
  <c r="Q3" i="3" s="1"/>
  <c r="M4" i="3"/>
  <c r="P4" i="3" s="1"/>
  <c r="Q4" i="3" s="1"/>
  <c r="M5" i="3"/>
  <c r="P5" i="3" s="1"/>
  <c r="Q5" i="3" s="1"/>
  <c r="M6" i="3"/>
  <c r="P6" i="3" s="1"/>
  <c r="Q6" i="3" s="1"/>
  <c r="M7" i="3"/>
  <c r="P7" i="3" s="1"/>
  <c r="Q7" i="3" s="1"/>
  <c r="M8" i="3"/>
  <c r="P8" i="3" s="1"/>
  <c r="Q8" i="3" s="1"/>
  <c r="M9" i="3"/>
  <c r="P9" i="3" s="1"/>
  <c r="Q9" i="3" s="1"/>
  <c r="M10" i="3"/>
  <c r="P10" i="3" s="1"/>
  <c r="Q10" i="3" s="1"/>
  <c r="M11" i="3"/>
  <c r="P11" i="3" s="1"/>
  <c r="Q11" i="3" s="1"/>
  <c r="M12" i="3"/>
  <c r="P12" i="3" s="1"/>
  <c r="Q12" i="3" s="1"/>
  <c r="M13" i="3"/>
  <c r="P13" i="3" s="1"/>
  <c r="Q13" i="3" s="1"/>
  <c r="M14" i="3"/>
  <c r="P14" i="3" s="1"/>
  <c r="Q14" i="3" s="1"/>
  <c r="M15" i="3"/>
  <c r="P15" i="3" s="1"/>
  <c r="Q15" i="3" s="1"/>
  <c r="M16" i="3"/>
  <c r="P16" i="3" s="1"/>
  <c r="Q16" i="3" s="1"/>
  <c r="M17" i="3"/>
  <c r="P17" i="3" s="1"/>
  <c r="Q17" i="3" s="1"/>
  <c r="M18" i="3"/>
  <c r="P18" i="3" s="1"/>
  <c r="Q18" i="3" s="1"/>
  <c r="M19" i="3"/>
  <c r="P19" i="3" s="1"/>
  <c r="Q19" i="3" s="1"/>
  <c r="M20" i="3"/>
  <c r="P20" i="3" s="1"/>
  <c r="Q20" i="3" s="1"/>
  <c r="M21" i="3"/>
  <c r="P21" i="3" s="1"/>
  <c r="Q21" i="3" s="1"/>
  <c r="M22" i="3"/>
  <c r="P22" i="3" s="1"/>
  <c r="Q22" i="3" s="1"/>
  <c r="M23" i="3"/>
  <c r="P23" i="3" s="1"/>
  <c r="Q23" i="3" s="1"/>
  <c r="M24" i="3"/>
  <c r="P24" i="3" s="1"/>
  <c r="Q24" i="3" s="1"/>
  <c r="M25" i="3"/>
  <c r="P25" i="3" s="1"/>
  <c r="Q25" i="3" s="1"/>
  <c r="M26" i="3"/>
  <c r="P26" i="3" s="1"/>
  <c r="Q26" i="3" s="1"/>
  <c r="M27" i="3"/>
  <c r="P27" i="3" s="1"/>
  <c r="Q27" i="3" s="1"/>
  <c r="M28" i="3"/>
  <c r="P28" i="3" s="1"/>
  <c r="Q28" i="3" s="1"/>
  <c r="M29" i="3"/>
  <c r="P29" i="3" s="1"/>
  <c r="Q29" i="3" s="1"/>
  <c r="M30" i="3"/>
  <c r="P30" i="3" s="1"/>
  <c r="Q30" i="3" s="1"/>
  <c r="M31" i="3"/>
  <c r="P31" i="3" s="1"/>
  <c r="Q31" i="3" s="1"/>
  <c r="M32" i="3"/>
  <c r="P32" i="3" s="1"/>
  <c r="Q32" i="3" s="1"/>
  <c r="M33" i="3"/>
  <c r="P33" i="3" s="1"/>
  <c r="Q33" i="3" s="1"/>
  <c r="M34" i="3"/>
  <c r="P34" i="3" s="1"/>
  <c r="Q34" i="3" s="1"/>
  <c r="M35" i="3"/>
  <c r="P35" i="3" s="1"/>
  <c r="Q35" i="3" s="1"/>
  <c r="M36" i="3"/>
  <c r="P36" i="3" s="1"/>
  <c r="Q36" i="3" s="1"/>
  <c r="M37" i="3"/>
  <c r="P37" i="3" s="1"/>
  <c r="Q37" i="3" s="1"/>
  <c r="M38" i="3"/>
  <c r="P38" i="3" s="1"/>
  <c r="Q38" i="3" s="1"/>
  <c r="M39" i="3"/>
  <c r="P39" i="3" s="1"/>
  <c r="Q39" i="3" s="1"/>
  <c r="M40" i="3"/>
  <c r="P40" i="3" s="1"/>
  <c r="Q40" i="3" s="1"/>
  <c r="M41" i="3"/>
  <c r="P41" i="3" s="1"/>
  <c r="Q41" i="3" s="1"/>
  <c r="M42" i="3"/>
  <c r="P42" i="3" s="1"/>
  <c r="Q42" i="3" s="1"/>
  <c r="M43" i="3"/>
  <c r="P43" i="3" s="1"/>
  <c r="Q43" i="3" s="1"/>
  <c r="M44" i="3"/>
  <c r="P44" i="3" s="1"/>
  <c r="Q44" i="3" s="1"/>
  <c r="M45" i="3"/>
  <c r="P45" i="3" s="1"/>
  <c r="Q45" i="3" s="1"/>
  <c r="M46" i="3"/>
  <c r="P46" i="3" s="1"/>
  <c r="Q46" i="3" s="1"/>
  <c r="M47" i="3"/>
  <c r="P47" i="3" s="1"/>
  <c r="Q47" i="3" s="1"/>
  <c r="M48" i="3"/>
  <c r="P48" i="3" s="1"/>
  <c r="Q48" i="3" s="1"/>
  <c r="M49" i="3"/>
  <c r="P49" i="3" s="1"/>
  <c r="Q49" i="3" s="1"/>
  <c r="M50" i="3"/>
  <c r="P50" i="3" s="1"/>
  <c r="Q50" i="3" s="1"/>
  <c r="M51" i="3"/>
  <c r="P51" i="3" s="1"/>
  <c r="Q51" i="3" s="1"/>
  <c r="M52" i="3"/>
  <c r="P52" i="3" s="1"/>
  <c r="Q52" i="3" s="1"/>
  <c r="M53" i="3"/>
  <c r="P53" i="3" s="1"/>
  <c r="Q53" i="3" s="1"/>
  <c r="M54" i="3"/>
  <c r="P54" i="3" s="1"/>
  <c r="Q54" i="3" s="1"/>
  <c r="M55" i="3"/>
  <c r="P55" i="3" s="1"/>
  <c r="Q55" i="3" s="1"/>
  <c r="M56" i="3"/>
  <c r="P56" i="3" s="1"/>
  <c r="Q56" i="3" s="1"/>
  <c r="M57" i="3"/>
  <c r="P57" i="3" s="1"/>
  <c r="Q57" i="3" s="1"/>
  <c r="M58" i="3"/>
  <c r="P58" i="3" s="1"/>
  <c r="Q58" i="3" s="1"/>
  <c r="M59" i="3"/>
  <c r="P59" i="3" s="1"/>
  <c r="Q59" i="3" s="1"/>
  <c r="M60" i="3"/>
  <c r="P60" i="3" s="1"/>
  <c r="Q60" i="3" s="1"/>
  <c r="M61" i="3"/>
  <c r="P61" i="3" s="1"/>
  <c r="Q61" i="3" s="1"/>
  <c r="M62" i="3"/>
  <c r="P62" i="3" s="1"/>
  <c r="Q62" i="3" s="1"/>
  <c r="M63" i="3"/>
  <c r="P63" i="3" s="1"/>
  <c r="Q63" i="3" s="1"/>
  <c r="M64" i="3"/>
  <c r="P64" i="3" s="1"/>
  <c r="Q64" i="3" s="1"/>
  <c r="M65" i="3"/>
  <c r="P65" i="3" s="1"/>
  <c r="Q65" i="3" s="1"/>
  <c r="M66" i="3"/>
  <c r="P66" i="3" s="1"/>
  <c r="Q66" i="3" s="1"/>
  <c r="M67" i="3"/>
  <c r="P67" i="3" s="1"/>
  <c r="Q67" i="3" s="1"/>
  <c r="M68" i="3"/>
  <c r="P68" i="3" s="1"/>
  <c r="Q68" i="3" s="1"/>
  <c r="M69" i="3"/>
  <c r="P69" i="3" s="1"/>
  <c r="Q69" i="3" s="1"/>
  <c r="M70" i="3"/>
  <c r="P70" i="3" s="1"/>
  <c r="Q70" i="3" s="1"/>
  <c r="M71" i="3"/>
  <c r="P71" i="3" s="1"/>
  <c r="Q71" i="3" s="1"/>
  <c r="M72" i="3"/>
  <c r="P72" i="3" s="1"/>
  <c r="Q72" i="3" s="1"/>
  <c r="M73" i="3"/>
  <c r="P73" i="3" s="1"/>
  <c r="Q73" i="3" s="1"/>
  <c r="M74" i="3"/>
  <c r="P74" i="3" s="1"/>
  <c r="Q74" i="3" s="1"/>
  <c r="M75" i="3"/>
  <c r="P75" i="3" s="1"/>
  <c r="Q75" i="3" s="1"/>
  <c r="M76" i="3"/>
  <c r="P76" i="3" s="1"/>
  <c r="Q76" i="3" s="1"/>
  <c r="M77" i="3"/>
  <c r="P77" i="3" s="1"/>
  <c r="Q77" i="3" s="1"/>
  <c r="M78" i="3"/>
  <c r="P78" i="3" s="1"/>
  <c r="Q78" i="3" s="1"/>
  <c r="M79" i="3"/>
  <c r="P79" i="3" s="1"/>
  <c r="Q79" i="3" s="1"/>
  <c r="M80" i="3"/>
  <c r="P80" i="3" s="1"/>
  <c r="Q80" i="3" s="1"/>
  <c r="M81" i="3"/>
  <c r="P81" i="3" s="1"/>
  <c r="Q81" i="3" s="1"/>
  <c r="M82" i="3"/>
  <c r="P82" i="3" s="1"/>
  <c r="Q82" i="3" s="1"/>
  <c r="M83" i="3"/>
  <c r="P83" i="3" s="1"/>
  <c r="Q83" i="3" s="1"/>
  <c r="M84" i="3"/>
  <c r="P84" i="3" s="1"/>
  <c r="Q84" i="3" s="1"/>
  <c r="M85" i="3"/>
  <c r="P85" i="3" s="1"/>
  <c r="Q85" i="3" s="1"/>
  <c r="M86" i="3"/>
  <c r="P86" i="3" s="1"/>
  <c r="Q86" i="3" s="1"/>
  <c r="M90" i="3"/>
  <c r="P90" i="3" s="1"/>
  <c r="Q90" i="3" s="1"/>
  <c r="M91" i="3"/>
  <c r="P91" i="3" s="1"/>
  <c r="Q91" i="3" s="1"/>
  <c r="M92" i="3"/>
  <c r="P92" i="3" s="1"/>
  <c r="Q92" i="3" s="1"/>
  <c r="M93" i="3"/>
  <c r="P93" i="3" s="1"/>
  <c r="Q93" i="3" s="1"/>
  <c r="M94" i="3"/>
  <c r="P94" i="3" s="1"/>
  <c r="Q94" i="3" s="1"/>
  <c r="M95" i="3"/>
  <c r="P95" i="3" s="1"/>
  <c r="Q95" i="3" s="1"/>
  <c r="M96" i="3"/>
  <c r="P96" i="3" s="1"/>
  <c r="Q96" i="3" s="1"/>
  <c r="M97" i="3"/>
  <c r="P97" i="3" s="1"/>
  <c r="Q97" i="3" s="1"/>
  <c r="M98" i="3"/>
  <c r="P98" i="3" s="1"/>
  <c r="Q98" i="3" s="1"/>
  <c r="M99" i="3"/>
  <c r="P99" i="3" s="1"/>
  <c r="Q99" i="3" s="1"/>
  <c r="M100" i="3"/>
  <c r="P100" i="3" s="1"/>
  <c r="Q100" i="3" s="1"/>
  <c r="M101" i="3"/>
  <c r="P101" i="3" s="1"/>
  <c r="Q101" i="3" s="1"/>
  <c r="M102" i="3"/>
  <c r="P102" i="3" s="1"/>
  <c r="Q102" i="3" s="1"/>
  <c r="M103" i="3"/>
  <c r="P103" i="3" s="1"/>
  <c r="Q103" i="3" s="1"/>
  <c r="M104" i="3"/>
  <c r="P104" i="3" s="1"/>
  <c r="Q104" i="3" s="1"/>
  <c r="M105" i="3"/>
  <c r="P105" i="3" s="1"/>
  <c r="Q105" i="3" s="1"/>
  <c r="M106" i="3"/>
  <c r="P106" i="3" s="1"/>
  <c r="Q106" i="3" s="1"/>
  <c r="M107" i="3"/>
  <c r="P107" i="3" s="1"/>
  <c r="Q107" i="3" s="1"/>
  <c r="M108" i="3"/>
  <c r="P108" i="3" s="1"/>
  <c r="Q108" i="3" s="1"/>
  <c r="M109" i="3"/>
  <c r="P109" i="3" s="1"/>
  <c r="Q109" i="3" s="1"/>
  <c r="M110" i="3"/>
  <c r="P110" i="3" s="1"/>
  <c r="Q110" i="3" s="1"/>
  <c r="M111" i="3"/>
  <c r="P111" i="3" s="1"/>
  <c r="Q111" i="3" s="1"/>
  <c r="M112" i="3"/>
  <c r="P112" i="3" s="1"/>
  <c r="Q112" i="3" s="1"/>
  <c r="M113" i="3"/>
  <c r="P113" i="3" s="1"/>
  <c r="Q113" i="3" s="1"/>
  <c r="M114" i="3"/>
  <c r="P114" i="3" s="1"/>
  <c r="Q114" i="3" s="1"/>
  <c r="M115" i="3"/>
  <c r="P115" i="3" s="1"/>
  <c r="Q115" i="3" s="1"/>
  <c r="M116" i="3"/>
  <c r="P116" i="3" s="1"/>
  <c r="Q116" i="3" s="1"/>
  <c r="M117" i="3"/>
  <c r="P117" i="3" s="1"/>
  <c r="Q117" i="3" s="1"/>
  <c r="M118" i="3"/>
  <c r="P118" i="3" s="1"/>
  <c r="Q118" i="3" s="1"/>
  <c r="M119" i="3"/>
  <c r="P119" i="3" s="1"/>
  <c r="Q119" i="3" s="1"/>
  <c r="M120" i="3"/>
  <c r="P120" i="3" s="1"/>
  <c r="Q120" i="3" s="1"/>
  <c r="M121" i="3"/>
  <c r="P121" i="3" s="1"/>
  <c r="Q121" i="3" s="1"/>
</calcChain>
</file>

<file path=xl/sharedStrings.xml><?xml version="1.0" encoding="utf-8"?>
<sst xmlns="http://schemas.openxmlformats.org/spreadsheetml/2006/main" count="2498" uniqueCount="375">
  <si>
    <t>Order ID</t>
  </si>
  <si>
    <t>Order Date</t>
  </si>
  <si>
    <t>Customer Name</t>
  </si>
  <si>
    <t>City</t>
  </si>
  <si>
    <t>Product</t>
  </si>
  <si>
    <t>Quantity</t>
  </si>
  <si>
    <t>Unit Price</t>
  </si>
  <si>
    <t>Unit Cost</t>
  </si>
  <si>
    <t>Discount</t>
  </si>
  <si>
    <t>Sales Channel</t>
  </si>
  <si>
    <t>Payment Method</t>
  </si>
  <si>
    <t>ES-1001</t>
  </si>
  <si>
    <t>ES-1002</t>
  </si>
  <si>
    <t>ES-1003</t>
  </si>
  <si>
    <t>ES-1004</t>
  </si>
  <si>
    <t>ES-1005</t>
  </si>
  <si>
    <t>ES-1006</t>
  </si>
  <si>
    <t>ES-1007</t>
  </si>
  <si>
    <t>ES-1008</t>
  </si>
  <si>
    <t>ES-1009</t>
  </si>
  <si>
    <t>ES-1010</t>
  </si>
  <si>
    <t>ES-1011</t>
  </si>
  <si>
    <t>ES-1012</t>
  </si>
  <si>
    <t>ES-1013</t>
  </si>
  <si>
    <t>ES-1014</t>
  </si>
  <si>
    <t>ES-1015</t>
  </si>
  <si>
    <t>ES-1016</t>
  </si>
  <si>
    <t>ES-1017</t>
  </si>
  <si>
    <t>ES-1018</t>
  </si>
  <si>
    <t>ES-1019</t>
  </si>
  <si>
    <t>ES-1020</t>
  </si>
  <si>
    <t>ES-1021</t>
  </si>
  <si>
    <t>ES-1022</t>
  </si>
  <si>
    <t>ES-1023</t>
  </si>
  <si>
    <t>ES-1024</t>
  </si>
  <si>
    <t>ES-1025</t>
  </si>
  <si>
    <t>ES-1026</t>
  </si>
  <si>
    <t>ES-1027</t>
  </si>
  <si>
    <t>ES-1028</t>
  </si>
  <si>
    <t>ES-1029</t>
  </si>
  <si>
    <t>ES-1030</t>
  </si>
  <si>
    <t>ES-1031</t>
  </si>
  <si>
    <t>ES-1032</t>
  </si>
  <si>
    <t>ES-1033</t>
  </si>
  <si>
    <t>ES-1034</t>
  </si>
  <si>
    <t>ES-1035</t>
  </si>
  <si>
    <t>ES-1036</t>
  </si>
  <si>
    <t>ES-1037</t>
  </si>
  <si>
    <t>ES-1038</t>
  </si>
  <si>
    <t>ES-1039</t>
  </si>
  <si>
    <t>ES-1040</t>
  </si>
  <si>
    <t>ES-1041</t>
  </si>
  <si>
    <t>ES-1042</t>
  </si>
  <si>
    <t>ES-1043</t>
  </si>
  <si>
    <t>ES-1044</t>
  </si>
  <si>
    <t>ES-1045</t>
  </si>
  <si>
    <t>ES-1046</t>
  </si>
  <si>
    <t>ES-1047</t>
  </si>
  <si>
    <t>ES-1048</t>
  </si>
  <si>
    <t>ES-1049</t>
  </si>
  <si>
    <t>ES-1050</t>
  </si>
  <si>
    <t>ES-1051</t>
  </si>
  <si>
    <t>ES-1052</t>
  </si>
  <si>
    <t>ES-1053</t>
  </si>
  <si>
    <t>ES-1054</t>
  </si>
  <si>
    <t>ES-1055</t>
  </si>
  <si>
    <t>ES-1056</t>
  </si>
  <si>
    <t>ES-1057</t>
  </si>
  <si>
    <t>ES-1058</t>
  </si>
  <si>
    <t>ES-1059</t>
  </si>
  <si>
    <t>ES-1060</t>
  </si>
  <si>
    <t>ES-1061</t>
  </si>
  <si>
    <t>ES-1062</t>
  </si>
  <si>
    <t>ES-1063</t>
  </si>
  <si>
    <t>ES-1064</t>
  </si>
  <si>
    <t>ES-1065</t>
  </si>
  <si>
    <t>ES-1066</t>
  </si>
  <si>
    <t>ES-1067</t>
  </si>
  <si>
    <t>ES-1068</t>
  </si>
  <si>
    <t>ES-1069</t>
  </si>
  <si>
    <t>ES-1070</t>
  </si>
  <si>
    <t>ES-1071</t>
  </si>
  <si>
    <t>ES-1072</t>
  </si>
  <si>
    <t>ES-1073</t>
  </si>
  <si>
    <t>ES-1074</t>
  </si>
  <si>
    <t>ES-1075</t>
  </si>
  <si>
    <t>ES-1076</t>
  </si>
  <si>
    <t>ES-1077</t>
  </si>
  <si>
    <t>ES-1078</t>
  </si>
  <si>
    <t>ES-1079</t>
  </si>
  <si>
    <t>ES-1080</t>
  </si>
  <si>
    <t>ES-1081</t>
  </si>
  <si>
    <t>ES-1082</t>
  </si>
  <si>
    <t>ES-1083</t>
  </si>
  <si>
    <t>ES-1084</t>
  </si>
  <si>
    <t>ES-1085</t>
  </si>
  <si>
    <t>ES-1086</t>
  </si>
  <si>
    <t>ES-1087</t>
  </si>
  <si>
    <t>ES-1088</t>
  </si>
  <si>
    <t>ES-1089</t>
  </si>
  <si>
    <t>ES-1090</t>
  </si>
  <si>
    <t>ES-1091</t>
  </si>
  <si>
    <t>ES-1092</t>
  </si>
  <si>
    <t>ES-1093</t>
  </si>
  <si>
    <t>ES-1094</t>
  </si>
  <si>
    <t>ES-1095</t>
  </si>
  <si>
    <t>ES-1096</t>
  </si>
  <si>
    <t>ES-1097</t>
  </si>
  <si>
    <t>ES-1098</t>
  </si>
  <si>
    <t>ES-1099</t>
  </si>
  <si>
    <t>ES-1100</t>
  </si>
  <si>
    <t>ES-1101</t>
  </si>
  <si>
    <t>ES-1102</t>
  </si>
  <si>
    <t>ES-1103</t>
  </si>
  <si>
    <t>ES-1104</t>
  </si>
  <si>
    <t>ES-1105</t>
  </si>
  <si>
    <t>ES-1106</t>
  </si>
  <si>
    <t>ES-1107</t>
  </si>
  <si>
    <t>ES-1108</t>
  </si>
  <si>
    <t>ES-1109</t>
  </si>
  <si>
    <t>ES-1110</t>
  </si>
  <si>
    <t>ES-1111</t>
  </si>
  <si>
    <t>ES-1112</t>
  </si>
  <si>
    <t>ES-1113</t>
  </si>
  <si>
    <t>ES-1114</t>
  </si>
  <si>
    <t>ES-1115</t>
  </si>
  <si>
    <t>ES-1116</t>
  </si>
  <si>
    <t>ES-1117</t>
  </si>
  <si>
    <t>ES-1118</t>
  </si>
  <si>
    <t>ES-1119</t>
  </si>
  <si>
    <t>ES-1120</t>
  </si>
  <si>
    <t>01/01/2025</t>
  </si>
  <si>
    <t>02/01/2025</t>
  </si>
  <si>
    <t>04/01/2025</t>
  </si>
  <si>
    <t>05/01/2025</t>
  </si>
  <si>
    <t>07/01/2025</t>
  </si>
  <si>
    <t>08/01/2025</t>
  </si>
  <si>
    <t>10/01/2025</t>
  </si>
  <si>
    <t>11/01/2025</t>
  </si>
  <si>
    <t>13/01/2025</t>
  </si>
  <si>
    <t>14/01/2025</t>
  </si>
  <si>
    <t>16/01/2025</t>
  </si>
  <si>
    <t>17/01/2025</t>
  </si>
  <si>
    <t>19/01/2025</t>
  </si>
  <si>
    <t>20/01/2025</t>
  </si>
  <si>
    <t>22/01/2025</t>
  </si>
  <si>
    <t>23/01/2025</t>
  </si>
  <si>
    <t>25/01/2025</t>
  </si>
  <si>
    <t>26/01/2025</t>
  </si>
  <si>
    <t>28/01/2025</t>
  </si>
  <si>
    <t>29/01/2025</t>
  </si>
  <si>
    <t>31/01/2025</t>
  </si>
  <si>
    <t>01/02/2025</t>
  </si>
  <si>
    <t>03/02/2025</t>
  </si>
  <si>
    <t>04/02/2025</t>
  </si>
  <si>
    <t>06/02/2025</t>
  </si>
  <si>
    <t>07/02/2025</t>
  </si>
  <si>
    <t>09/02/2025</t>
  </si>
  <si>
    <t>10/02/2025</t>
  </si>
  <si>
    <t>12/02/2025</t>
  </si>
  <si>
    <t>13/02/2025</t>
  </si>
  <si>
    <t>15/02/2025</t>
  </si>
  <si>
    <t>16/02/2025</t>
  </si>
  <si>
    <t>18/02/2025</t>
  </si>
  <si>
    <t>19/02/2025</t>
  </si>
  <si>
    <t>21/02/2025</t>
  </si>
  <si>
    <t>22/02/2025</t>
  </si>
  <si>
    <t>24/02/2025</t>
  </si>
  <si>
    <t>25/02/2025</t>
  </si>
  <si>
    <t>27/02/2025</t>
  </si>
  <si>
    <t>28/02/2025</t>
  </si>
  <si>
    <t>02/03/2025</t>
  </si>
  <si>
    <t>04/03/2025</t>
  </si>
  <si>
    <t>05/03/2025</t>
  </si>
  <si>
    <t>07/03/2025</t>
  </si>
  <si>
    <t>08/03/2025</t>
  </si>
  <si>
    <t>10/03/2025</t>
  </si>
  <si>
    <t>11/03/2025</t>
  </si>
  <si>
    <t>13/03/2025</t>
  </si>
  <si>
    <t>14/03/2025</t>
  </si>
  <si>
    <t>16/03/2025</t>
  </si>
  <si>
    <t>17/03/2025</t>
  </si>
  <si>
    <t>19/03/2025</t>
  </si>
  <si>
    <t>20/03/2025</t>
  </si>
  <si>
    <t>22/03/2025</t>
  </si>
  <si>
    <t>23/03/2025</t>
  </si>
  <si>
    <t>25/03/2025</t>
  </si>
  <si>
    <t>26/03/2025</t>
  </si>
  <si>
    <t>28/03/2025</t>
  </si>
  <si>
    <t>29/03/2025</t>
  </si>
  <si>
    <t>31/03/2025</t>
  </si>
  <si>
    <t>01/04/2025</t>
  </si>
  <si>
    <t>03/04/2025</t>
  </si>
  <si>
    <t>04/04/2025</t>
  </si>
  <si>
    <t>06/04/2025</t>
  </si>
  <si>
    <t>07/04/2025</t>
  </si>
  <si>
    <t>09/04/2025</t>
  </si>
  <si>
    <t>10/04/2025</t>
  </si>
  <si>
    <t>12/04/2025</t>
  </si>
  <si>
    <t>13/04/2025</t>
  </si>
  <si>
    <t>15/04/2025</t>
  </si>
  <si>
    <t>16/04/2025</t>
  </si>
  <si>
    <t>18/04/2025</t>
  </si>
  <si>
    <t>19/04/2025</t>
  </si>
  <si>
    <t>21/04/2025</t>
  </si>
  <si>
    <t>22/04/2025</t>
  </si>
  <si>
    <t>24/04/2025</t>
  </si>
  <si>
    <t>25/04/2025</t>
  </si>
  <si>
    <t>27/04/2025</t>
  </si>
  <si>
    <t>28/04/2025</t>
  </si>
  <si>
    <t>30/04/2025</t>
  </si>
  <si>
    <t>02/05/2025</t>
  </si>
  <si>
    <t>03/05/2025</t>
  </si>
  <si>
    <t>05/05/2025</t>
  </si>
  <si>
    <t>06/05/2025</t>
  </si>
  <si>
    <t>08/05/2025</t>
  </si>
  <si>
    <t>09/05/2025</t>
  </si>
  <si>
    <t>11/05/2025</t>
  </si>
  <si>
    <t>12/05/2025</t>
  </si>
  <si>
    <t>14/05/2025</t>
  </si>
  <si>
    <t>15/05/2025</t>
  </si>
  <si>
    <t>17/05/2025</t>
  </si>
  <si>
    <t>18/05/2025</t>
  </si>
  <si>
    <t>20/05/2025</t>
  </si>
  <si>
    <t>21/05/2025</t>
  </si>
  <si>
    <t>23/05/2025</t>
  </si>
  <si>
    <t>24/05/2025</t>
  </si>
  <si>
    <t>26/05/2025</t>
  </si>
  <si>
    <t>27/05/2025</t>
  </si>
  <si>
    <t>29/05/2025</t>
  </si>
  <si>
    <t>30/05/2025</t>
  </si>
  <si>
    <t>01/06/2025</t>
  </si>
  <si>
    <t>02/06/2025</t>
  </si>
  <si>
    <t>04/06/2025</t>
  </si>
  <si>
    <t>05/06/2025</t>
  </si>
  <si>
    <t>07/06/2025</t>
  </si>
  <si>
    <t>08/06/2025</t>
  </si>
  <si>
    <t>10/06/2025</t>
  </si>
  <si>
    <t>11/06/2025</t>
  </si>
  <si>
    <t>13/06/2025</t>
  </si>
  <si>
    <t>14/06/2025</t>
  </si>
  <si>
    <t>16/06/2025</t>
  </si>
  <si>
    <t>17/06/2025</t>
  </si>
  <si>
    <t>19/06/2025</t>
  </si>
  <si>
    <t>20/06/2025</t>
  </si>
  <si>
    <t>22/06/2025</t>
  </si>
  <si>
    <t>23/06/2025</t>
  </si>
  <si>
    <t>25/06/2025</t>
  </si>
  <si>
    <t>26/06/2025</t>
  </si>
  <si>
    <t>28/06/2025</t>
  </si>
  <si>
    <t>30/06/2025</t>
  </si>
  <si>
    <t>Amina Ibrahim</t>
  </si>
  <si>
    <t>Tolu Mensah</t>
  </si>
  <si>
    <t>Samuel Mensah</t>
  </si>
  <si>
    <t>John Ibrahim</t>
  </si>
  <si>
    <t>John Balogun</t>
  </si>
  <si>
    <t>Chiamaka Ojo</t>
  </si>
  <si>
    <t>Amina Adeyemi</t>
  </si>
  <si>
    <t xml:space="preserve">  Amina Adeyemi </t>
  </si>
  <si>
    <t>Grace Ojo</t>
  </si>
  <si>
    <t>Amina Mensah</t>
  </si>
  <si>
    <t>Mary Ojo</t>
  </si>
  <si>
    <t>David Ojo</t>
  </si>
  <si>
    <t>Tolu Adeyemi</t>
  </si>
  <si>
    <t>Tolu Ojo</t>
  </si>
  <si>
    <t>Tolu Balogun</t>
  </si>
  <si>
    <t>Tolu Williams</t>
  </si>
  <si>
    <t>Daniel Adeyemi</t>
  </si>
  <si>
    <t>Chiamaka Williams</t>
  </si>
  <si>
    <t>Mary Eze</t>
  </si>
  <si>
    <t>Ife Okafor</t>
  </si>
  <si>
    <t>Daniel Williams</t>
  </si>
  <si>
    <t>David Ibrahim</t>
  </si>
  <si>
    <t>Tolu Eze</t>
  </si>
  <si>
    <t>Samuel Balogun</t>
  </si>
  <si>
    <t>John Adeyemi</t>
  </si>
  <si>
    <t>Chiamaka Okafor</t>
  </si>
  <si>
    <t>Mary Balogun</t>
  </si>
  <si>
    <t>Grace Williams</t>
  </si>
  <si>
    <t>Amina Eze</t>
  </si>
  <si>
    <t>Mary Williams</t>
  </si>
  <si>
    <t>Chiamaka Ibrahim</t>
  </si>
  <si>
    <t>Daniel Eze</t>
  </si>
  <si>
    <t>Tolu Ibrahim</t>
  </si>
  <si>
    <t>Ife Ibrahim</t>
  </si>
  <si>
    <t>David Balogun</t>
  </si>
  <si>
    <t>John Williams</t>
  </si>
  <si>
    <t>Samuel Williams</t>
  </si>
  <si>
    <t>Ife Balogun</t>
  </si>
  <si>
    <t>John Mensah</t>
  </si>
  <si>
    <t>Mary Mensah</t>
  </si>
  <si>
    <t>Daniel Okafor</t>
  </si>
  <si>
    <t>Samuel Ojo</t>
  </si>
  <si>
    <t>David Eze</t>
  </si>
  <si>
    <t>Tolu Okafor</t>
  </si>
  <si>
    <t>David Mensah</t>
  </si>
  <si>
    <t>David Okafor</t>
  </si>
  <si>
    <t>Amina Okafor</t>
  </si>
  <si>
    <t>Daniel Mensah</t>
  </si>
  <si>
    <t>Samuel Eze</t>
  </si>
  <si>
    <t>Ife Williams</t>
  </si>
  <si>
    <t>Grace Adeyemi</t>
  </si>
  <si>
    <t>David Williams</t>
  </si>
  <si>
    <t>John Eze</t>
  </si>
  <si>
    <t>Daniel Ibrahim</t>
  </si>
  <si>
    <t>Chiamaka Mensah</t>
  </si>
  <si>
    <t>Samuel Ibrahim</t>
  </si>
  <si>
    <t>Amina Balogun</t>
  </si>
  <si>
    <t>Ife Eze</t>
  </si>
  <si>
    <t>Chiamaka Balogun</t>
  </si>
  <si>
    <t>Samuel Adeyemi</t>
  </si>
  <si>
    <t>John Ojo</t>
  </si>
  <si>
    <t>Grace Ibrahim</t>
  </si>
  <si>
    <t>Mary Adeyemi</t>
  </si>
  <si>
    <t>Mary Ibrahim</t>
  </si>
  <si>
    <t>Lagos</t>
  </si>
  <si>
    <t xml:space="preserve">Lagos </t>
  </si>
  <si>
    <t>lagos</t>
  </si>
  <si>
    <t>Abuja</t>
  </si>
  <si>
    <t>Ibadan</t>
  </si>
  <si>
    <t>LAGOS</t>
  </si>
  <si>
    <t>Port Harcourt</t>
  </si>
  <si>
    <t xml:space="preserve">Rice 5kg </t>
  </si>
  <si>
    <t>Beans 5KG</t>
  </si>
  <si>
    <t>Beans 5kg</t>
  </si>
  <si>
    <t>Rice 5kg</t>
  </si>
  <si>
    <t>Tomato Paste</t>
  </si>
  <si>
    <t>Cooking Oil 2L</t>
  </si>
  <si>
    <t>Garri 5kg</t>
  </si>
  <si>
    <t>Spaghetti</t>
  </si>
  <si>
    <t>Instagram</t>
  </si>
  <si>
    <t>whatsapp</t>
  </si>
  <si>
    <t>Walk-in</t>
  </si>
  <si>
    <t>Phone</t>
  </si>
  <si>
    <t>WhatsApp</t>
  </si>
  <si>
    <t xml:space="preserve"> WhatsApp </t>
  </si>
  <si>
    <t>Bank Transfer</t>
  </si>
  <si>
    <t>Cash</t>
  </si>
  <si>
    <t>transfer</t>
  </si>
  <si>
    <t>Card</t>
  </si>
  <si>
    <t>Transfer</t>
  </si>
  <si>
    <t>Bank transfer</t>
  </si>
  <si>
    <t>Customer Name2</t>
  </si>
  <si>
    <t>City2</t>
  </si>
  <si>
    <t>Phone call</t>
  </si>
  <si>
    <t>Gross Sales</t>
  </si>
  <si>
    <t>Discount Amount</t>
  </si>
  <si>
    <t>Total Sales</t>
  </si>
  <si>
    <t>Profit</t>
  </si>
  <si>
    <t>Total Cost</t>
  </si>
  <si>
    <t>Profit Margin</t>
  </si>
  <si>
    <t>Month</t>
  </si>
  <si>
    <t>Weekdays</t>
  </si>
  <si>
    <t>KPI</t>
  </si>
  <si>
    <t>Sum of Total Sales</t>
  </si>
  <si>
    <t>Sum of Profit</t>
  </si>
  <si>
    <t>Row Labels</t>
  </si>
  <si>
    <t>Grand Total</t>
  </si>
  <si>
    <t>Revenue by City</t>
  </si>
  <si>
    <t>January</t>
  </si>
  <si>
    <t>February</t>
  </si>
  <si>
    <t>March</t>
  </si>
  <si>
    <t>April</t>
  </si>
  <si>
    <t>May</t>
  </si>
  <si>
    <t>June</t>
  </si>
  <si>
    <t>Sum of Total Cost</t>
  </si>
  <si>
    <t>Revenue</t>
  </si>
  <si>
    <t>Count of Order ID</t>
  </si>
  <si>
    <t>REVENUE AND PROFIT BY PRODUCT</t>
  </si>
  <si>
    <t>Revenue by Month</t>
  </si>
  <si>
    <t>Revenue by sales channel</t>
  </si>
  <si>
    <t>Transactions</t>
  </si>
  <si>
    <t>COGS</t>
  </si>
  <si>
    <t>CHARTS</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</si>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</sst>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66]\ * #,##0_-;\-[$₦-466]\ * #,##0_-;_-[$₦-466]\ * &quot;-&quot;??_-;_-@_-"/>
    <numFmt numFmtId="165" formatCode="_-[$₦-466]\ * #,##0_-;\-[$₦-466]\ * #,##0_-;_-[$₦-466]\ * &quot;-&quot;_-;_-@_-"/>
    <numFmt numFmtId="166" formatCode="d/m/yyyy"/>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sz val="16"/>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14" fontId="0" fillId="0" borderId="0" xfId="0" applyNumberFormat="1"/>
    <xf numFmtId="9" fontId="1" fillId="0" borderId="2" xfId="0" applyNumberFormat="1" applyFont="1" applyBorder="1" applyAlignment="1">
      <alignment horizontal="center" vertical="top"/>
    </xf>
    <xf numFmtId="9" fontId="0" fillId="0" borderId="0" xfId="0" applyNumberFormat="1"/>
    <xf numFmtId="164" fontId="1" fillId="0" borderId="2" xfId="0" applyNumberFormat="1" applyFont="1" applyBorder="1" applyAlignment="1">
      <alignment horizontal="center" vertical="top"/>
    </xf>
    <xf numFmtId="164" fontId="0" fillId="0" borderId="0" xfId="0" applyNumberFormat="1"/>
    <xf numFmtId="165" fontId="1" fillId="0" borderId="2" xfId="0" applyNumberFormat="1" applyFont="1" applyBorder="1" applyAlignment="1">
      <alignment horizontal="center" vertical="top"/>
    </xf>
    <xf numFmtId="165" fontId="0" fillId="0" borderId="0" xfId="0" applyNumberFormat="1"/>
    <xf numFmtId="9" fontId="1" fillId="0" borderId="2" xfId="1" applyFont="1" applyBorder="1" applyAlignment="1">
      <alignment horizontal="center" vertical="top"/>
    </xf>
    <xf numFmtId="9" fontId="0" fillId="0" borderId="0" xfId="1" applyFont="1"/>
    <xf numFmtId="166" fontId="1" fillId="0" borderId="2" xfId="0" applyNumberFormat="1" applyFont="1" applyBorder="1" applyAlignment="1">
      <alignment horizontal="center" vertical="top"/>
    </xf>
    <xf numFmtId="166" fontId="0" fillId="0" borderId="0" xfId="0" applyNumberFormat="1"/>
    <xf numFmtId="0" fontId="0" fillId="0" borderId="0" xfId="0" pivotButton="1"/>
    <xf numFmtId="0" fontId="0" fillId="0" borderId="0" xfId="0" applyAlignment="1">
      <alignment horizontal="left"/>
    </xf>
    <xf numFmtId="0" fontId="4" fillId="0" borderId="0" xfId="0" applyFont="1"/>
    <xf numFmtId="1" fontId="0" fillId="0" borderId="0" xfId="0" applyNumberFormat="1"/>
    <xf numFmtId="0" fontId="0" fillId="2" borderId="0" xfId="0" applyFill="1"/>
    <xf numFmtId="10" fontId="0" fillId="0" borderId="0" xfId="0" applyNumberFormat="1"/>
  </cellXfs>
  <cellStyles count="2">
    <cellStyle name="Normal" xfId="0" builtinId="0"/>
    <cellStyle name="Percent" xfId="1" builtinId="5"/>
  </cellStyles>
  <dxfs count="37">
    <dxf>
      <font>
        <color rgb="FF9C0006"/>
      </font>
      <fill>
        <patternFill>
          <bgColor rgb="FFFFC7CE"/>
        </patternFill>
      </fill>
    </dxf>
    <dxf>
      <font>
        <color rgb="FF9C0006"/>
      </font>
      <fill>
        <patternFill>
          <bgColor rgb="FFFFC7CE"/>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3" formatCode="0%"/>
    </dxf>
    <dxf>
      <numFmt numFmtId="164" formatCode="_-[$₦-466]\ * #,##0_-;\-[$₦-466]\ * #,##0_-;_-[$₦-466]\ * &quot;-&quot;??_-;_-@_-"/>
    </dxf>
    <dxf>
      <numFmt numFmtId="164" formatCode="_-[$₦-466]\ * #,##0_-;\-[$₦-466]\ * #,##0_-;_-[$₦-466]\ * &quot;-&quot;??_-;_-@_-"/>
    </dxf>
    <dxf>
      <numFmt numFmtId="164" formatCode="_-[$₦-466]\ * #,##0_-;\-[$₦-466]\ * #,##0_-;_-[$₦-466]\ * &quot;-&quot;??_-;_-@_-"/>
    </dxf>
    <dxf>
      <numFmt numFmtId="165" formatCode="_-[$₦-466]\ * #,##0_-;\-[$₦-466]\ * #,##0_-;_-[$₦-466]\ * &quot;-&quot;_-;_-@_-"/>
    </dxf>
    <dxf>
      <numFmt numFmtId="165" formatCode="_-[$₦-466]\ * #,##0_-;\-[$₦-466]\ * #,##0_-;_-[$₦-466]\ * &quot;-&quot;_-;_-@_-"/>
    </dxf>
    <dxf>
      <numFmt numFmtId="13" formatCode="0%"/>
    </dxf>
    <dxf>
      <numFmt numFmtId="165" formatCode="_-[$₦-466]\ * #,##0_-;\-[$₦-466]\ * #,##0_-;_-[$₦-466]\ * &quot;-&quot;_-;_-@_-"/>
    </dxf>
    <dxf>
      <numFmt numFmtId="164" formatCode="_-[$₦-466]\ * #,##0_-;\-[$₦-466]\ * #,##0_-;_-[$₦-466]\ * &quot;-&quot;??_-;_-@_-"/>
    </dxf>
    <dxf>
      <numFmt numFmtId="19" formatCode="m/d/yyyy"/>
    </dxf>
    <dxf>
      <numFmt numFmtId="19" formatCode="m/d/yyyy"/>
    </dxf>
    <dxf>
      <numFmt numFmtId="166" formatCode="d/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_-[$₦-466]\ * #,##0_-;\-[$₦-466]\ * #,##0_-;_-[$₦-466]\ * &quot;-&quot;??_-;_-@_-"/>
    </dxf>
    <dxf>
      <numFmt numFmtId="165" formatCode="_-[$₦-466]\ * #,##0_-;\-[$₦-466]\ * #,##0_-;_-[$₦-466]\ * &quot;-&quot;_-;_-@_-"/>
    </dxf>
    <dxf>
      <numFmt numFmtId="165" formatCode="_-[$₦-466]\ * #,##0_-;\-[$₦-466]\ * #,##0_-;_-[$₦-466]\ * &quot;-&quot;_-;_-@_-"/>
    </dxf>
    <dxf>
      <numFmt numFmtId="1" formatCode="0"/>
    </dxf>
    <dxf>
      <numFmt numFmtId="13" formatCode="0%"/>
    </dxf>
    <dxf>
      <numFmt numFmtId="14" formatCode="0.00%"/>
    </dxf>
    <dxf>
      <numFmt numFmtId="164" formatCode="_-[$₦-466]\ * #,##0_-;\-[$₦-466]\ * #,##0_-;_-[$₦-466]\ * &quot;-&quot;??_-;_-@_-"/>
    </dxf>
    <dxf>
      <numFmt numFmtId="164" formatCode="_-[$₦-466]\ * #,##0_-;\-[$₦-466]\ * #,##0_-;_-[$₦-466]\ * &quot;-&quot;??_-;_-@_-"/>
    </dxf>
    <dxf>
      <numFmt numFmtId="164" formatCode="_-[$₦-466]\ * #,##0_-;\-[$₦-466]\ * #,##0_-;_-[$₦-466]\ * &quot;-&quot;??_-;_-@_-"/>
    </dxf>
    <dxf>
      <numFmt numFmtId="164" formatCode="_-[$₦-466]\ * #,##0_-;\-[$₦-466]\ * #,##0_-;_-[$₦-466]\ * &quot;-&quot;??_-;_-@_-"/>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ont>
        <sz val="11"/>
        <color theme="3" tint="-0.24994659260841701"/>
        <name val="Calibri"/>
        <family val="2"/>
        <scheme val="minor"/>
      </font>
      <fill>
        <patternFill patternType="none">
          <bgColor auto="1"/>
        </patternFill>
      </fill>
      <border diagonalUp="0" diagonalDown="0">
        <left/>
        <right/>
        <top/>
        <bottom/>
        <vertical/>
        <horizontal/>
      </border>
    </dxf>
    <dxf>
      <font>
        <b val="0"/>
        <i val="0"/>
        <sz val="11"/>
        <name val="Calibri"/>
        <family val="2"/>
        <scheme val="minor"/>
      </font>
      <fill>
        <patternFill patternType="solid">
          <fgColor theme="3" tint="-0.24994659260841701"/>
          <bgColor theme="3" tint="-0.24994659260841701"/>
        </patternFill>
      </fill>
    </dxf>
  </dxfs>
  <tableStyles count="6" defaultTableStyle="TableStyleMedium9" defaultPivotStyle="PivotStyleLight16">
    <tableStyle name="Slicer Style 1" pivot="0" table="0" count="1" xr9:uid="{C7FA3F4E-7EA0-4CD7-B77D-228DD53E2137}">
      <tableStyleElement type="wholeTable" dxfId="36"/>
    </tableStyle>
    <tableStyle name="Slicer Style 2" pivot="0" table="0" count="1" xr9:uid="{40F08D37-00C5-43A4-8D38-9D54638CFC2F}">
      <tableStyleElement type="wholeTable" dxfId="35"/>
    </tableStyle>
    <tableStyle name="Slicer Style 3" pivot="0" table="0" count="1" xr9:uid="{8D43E08E-43DE-4056-A00C-89A8ECE50027}">
      <tableStyleElement type="wholeTable" dxfId="34"/>
    </tableStyle>
    <tableStyle name="Slicer Style 4" pivot="0" table="0" count="1" xr9:uid="{EE5ED11D-6EEA-4D6A-8EAD-8EFF352FB17F}">
      <tableStyleElement type="wholeTable" dxfId="33"/>
    </tableStyle>
    <tableStyle name="Slicer Style 5" pivot="0" table="0" count="10" xr9:uid="{0FA8A76A-71B7-4280-8335-F1E77BD6BA21}">
      <tableStyleElement type="wholeTable" dxfId="32"/>
      <tableStyleElement type="headerRow" dxfId="31"/>
    </tableStyle>
    <tableStyle name="Slicer Style 6" pivot="0" table="0" count="1" xr9:uid="{0F1180BE-68C9-462D-A84E-8BD696E53FC7}"/>
  </tableStyles>
  <colors>
    <mruColors>
      <color rgb="FFEAEAEA"/>
    </mruColors>
  </colors>
  <extLst>
    <ext xmlns:x14="http://schemas.microsoft.com/office/spreadsheetml/2009/9/main" uri="{46F421CA-312F-682f-3DD2-61675219B42D}">
      <x14:dxfs count="9">
        <dxf>
          <font>
            <b val="0"/>
            <i val="0"/>
            <sz val="10"/>
            <color theme="1"/>
            <name val="Calibri"/>
            <family val="2"/>
            <scheme val="minor"/>
          </font>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6">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[EasyShopping_Project_Messy_Sales_Data .xlsx]Pivot Table !Revenue by Month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tx1"/>
                </a:solidFill>
              </a:rPr>
              <a:t>Revenue</a:t>
            </a:r>
            <a:r>
              <a:rPr lang="en-US" sz="1100" baseline="0">
                <a:solidFill>
                  <a:schemeClr val="tx1"/>
                </a:solidFill>
              </a:rPr>
              <a:t> by Month</a:t>
            </a:r>
            <a:endParaRPr lang="en-US" sz="1100">
              <a:solidFill>
                <a:schemeClr val="tx1"/>
              </a:solidFill>
            </a:endParaRPr>
          </a:p>
        </c:rich>
      </c:tx>
      <c:layout>
        <c:manualLayout>
          <c:xMode val="edge"/>
          <c:yMode val="edge"/>
          <c:x val="2.3458223972003527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2">
                <a:lumMod val="75000"/>
              </a:schemeClr>
            </a:solidFill>
            <a:round/>
          </a:ln>
          <a:effectLst/>
        </c:spPr>
        <c:marker>
          <c:symbol val="circle"/>
          <c:size val="5"/>
          <c:spPr>
            <a:solidFill>
              <a:schemeClr val="tx2">
                <a:lumMod val="50000"/>
              </a:schemeClr>
            </a:solidFill>
            <a:ln w="9525">
              <a:solidFill>
                <a:schemeClr val="tx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'!$I$3</c:f>
              <c:strCache>
                <c:ptCount val="1"/>
                <c:pt idx="0">
                  <c:v>Total</c:v>
                </c:pt>
              </c:strCache>
            </c:strRef>
          </c:tx>
          <c:spPr>
            <a:ln w="28575" cap="rnd">
              <a:solidFill>
                <a:schemeClr val="tx2">
                  <a:lumMod val="75000"/>
                </a:schemeClr>
              </a:solidFill>
              <a:round/>
            </a:ln>
            <a:effectLst/>
          </c:spPr>
          <c:marker>
            <c:symbol val="circle"/>
            <c:size val="5"/>
            <c:spPr>
              <a:solidFill>
                <a:schemeClr val="tx2">
                  <a:lumMod val="50000"/>
                </a:schemeClr>
              </a:solidFill>
              <a:ln w="9525">
                <a:solidFill>
                  <a:schemeClr val="tx2">
                    <a:lumMod val="75000"/>
                  </a:schemeClr>
                </a:solidFill>
              </a:ln>
              <a:effectLst/>
            </c:spPr>
          </c:marker>
          <c:cat>
            <c:strRef>
              <c:f>'Pivot Table '!$H$4:$H$10</c:f>
              <c:strCache>
                <c:ptCount val="6"/>
                <c:pt idx="0">
                  <c:v>January</c:v>
                </c:pt>
                <c:pt idx="1">
                  <c:v>March</c:v>
                </c:pt>
                <c:pt idx="2">
                  <c:v>April</c:v>
                </c:pt>
                <c:pt idx="3">
                  <c:v>June</c:v>
                </c:pt>
                <c:pt idx="4">
                  <c:v>February</c:v>
                </c:pt>
                <c:pt idx="5">
                  <c:v>May</c:v>
                </c:pt>
              </c:strCache>
            </c:strRef>
          </c:cat>
          <c:val>
            <c:numRef>
              <c:f>'Pivot Table '!$I$4:$I$10</c:f>
              <c:numCache>
                <c:formatCode>_-[$₦-466]\ * #,##0_-;\-[$₦-466]\ * #,##0_-;_-[$₦-466]\ * "-"??_-;_-@_-</c:formatCode>
                <c:ptCount val="6"/>
                <c:pt idx="0">
                  <c:v>594415</c:v>
                </c:pt>
                <c:pt idx="1">
                  <c:v>555750</c:v>
                </c:pt>
                <c:pt idx="2">
                  <c:v>506845</c:v>
                </c:pt>
                <c:pt idx="3">
                  <c:v>500940</c:v>
                </c:pt>
                <c:pt idx="4">
                  <c:v>472085</c:v>
                </c:pt>
                <c:pt idx="5">
                  <c:v>449900</c:v>
                </c:pt>
              </c:numCache>
            </c:numRef>
          </c:val>
          <c:smooth val="0"/>
          <c:extLst>
            <c:ext xmlns:c16="http://schemas.microsoft.com/office/drawing/2014/chart" uri="{C3380CC4-5D6E-409C-BE32-E72D297353CC}">
              <c16:uniqueId val="{00000000-609D-48C6-9253-41F179997A74}"/>
            </c:ext>
          </c:extLst>
        </c:ser>
        <c:dLbls>
          <c:showLegendKey val="0"/>
          <c:showVal val="0"/>
          <c:showCatName val="0"/>
          <c:showSerName val="0"/>
          <c:showPercent val="0"/>
          <c:showBubbleSize val="0"/>
        </c:dLbls>
        <c:marker val="1"/>
        <c:smooth val="0"/>
        <c:axId val="784359600"/>
        <c:axId val="784347600"/>
      </c:lineChart>
      <c:catAx>
        <c:axId val="7843596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4347600"/>
        <c:crosses val="autoZero"/>
        <c:auto val="1"/>
        <c:lblAlgn val="ctr"/>
        <c:lblOffset val="100"/>
        <c:noMultiLvlLbl val="0"/>
      </c:catAx>
      <c:valAx>
        <c:axId val="784347600"/>
        <c:scaling>
          <c:orientation val="minMax"/>
        </c:scaling>
        <c:delete val="0"/>
        <c:axPos val="l"/>
        <c:numFmt formatCode="_-[$₦-466]\ * #,##0_-;\-[$₦-466]\ * #,##0_-;_-[$₦-466]\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435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[EasyShopping_Project_Messy_Sales_Data .xlsx]Pivot Table !REVENUE AND PROFIT BY PRODUCT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tx1"/>
                </a:solidFill>
              </a:rPr>
              <a:t>Revenue and</a:t>
            </a:r>
            <a:r>
              <a:rPr lang="en-US" sz="1100" baseline="0">
                <a:solidFill>
                  <a:schemeClr val="tx1"/>
                </a:solidFill>
              </a:rPr>
              <a:t> Profit by Product</a:t>
            </a:r>
            <a:endParaRPr lang="en-US" sz="1100">
              <a:solidFill>
                <a:schemeClr val="tx1"/>
              </a:solidFill>
            </a:endParaRPr>
          </a:p>
        </c:rich>
      </c:tx>
      <c:layout>
        <c:manualLayout>
          <c:xMode val="edge"/>
          <c:yMode val="edge"/>
          <c:x val="2.4222222222222218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'!$E$3</c:f>
              <c:strCache>
                <c:ptCount val="1"/>
                <c:pt idx="0">
                  <c:v>Sum of Total Sales</c:v>
                </c:pt>
              </c:strCache>
            </c:strRef>
          </c:tx>
          <c:spPr>
            <a:solidFill>
              <a:schemeClr val="tx2">
                <a:lumMod val="50000"/>
              </a:schemeClr>
            </a:solidFill>
            <a:ln>
              <a:noFill/>
            </a:ln>
            <a:effectLst/>
          </c:spPr>
          <c:invertIfNegative val="0"/>
          <c:cat>
            <c:strRef>
              <c:f>'Pivot Table '!$D$4:$D$10</c:f>
              <c:strCache>
                <c:ptCount val="6"/>
                <c:pt idx="0">
                  <c:v>Beans 5kg</c:v>
                </c:pt>
                <c:pt idx="1">
                  <c:v>Rice 5kg</c:v>
                </c:pt>
                <c:pt idx="2">
                  <c:v>Cooking Oil 2L</c:v>
                </c:pt>
                <c:pt idx="3">
                  <c:v>Garri 5kg</c:v>
                </c:pt>
                <c:pt idx="4">
                  <c:v>Tomato Paste</c:v>
                </c:pt>
                <c:pt idx="5">
                  <c:v>Spaghetti</c:v>
                </c:pt>
              </c:strCache>
            </c:strRef>
          </c:cat>
          <c:val>
            <c:numRef>
              <c:f>'Pivot Table '!$E$4:$E$10</c:f>
              <c:numCache>
                <c:formatCode>_-[$₦-466]\ * #,##0_-;\-[$₦-466]\ * #,##0_-;_-[$₦-466]\ * "-"??_-;_-@_-</c:formatCode>
                <c:ptCount val="6"/>
                <c:pt idx="0">
                  <c:v>1120950</c:v>
                </c:pt>
                <c:pt idx="1">
                  <c:v>1092675</c:v>
                </c:pt>
                <c:pt idx="2">
                  <c:v>452250</c:v>
                </c:pt>
                <c:pt idx="3">
                  <c:v>252000</c:v>
                </c:pt>
                <c:pt idx="4">
                  <c:v>94860</c:v>
                </c:pt>
                <c:pt idx="5">
                  <c:v>67200</c:v>
                </c:pt>
              </c:numCache>
            </c:numRef>
          </c:val>
          <c:extLst>
            <c:ext xmlns:c16="http://schemas.microsoft.com/office/drawing/2014/chart" uri="{C3380CC4-5D6E-409C-BE32-E72D297353CC}">
              <c16:uniqueId val="{00000000-DAAE-4962-94C1-8FB037141C21}"/>
            </c:ext>
          </c:extLst>
        </c:ser>
        <c:ser>
          <c:idx val="1"/>
          <c:order val="1"/>
          <c:tx>
            <c:strRef>
              <c:f>'Pivot Table '!$F$3</c:f>
              <c:strCache>
                <c:ptCount val="1"/>
                <c:pt idx="0">
                  <c:v>Sum of Profit</c:v>
                </c:pt>
              </c:strCache>
            </c:strRef>
          </c:tx>
          <c:spPr>
            <a:solidFill>
              <a:schemeClr val="tx2">
                <a:lumMod val="40000"/>
                <a:lumOff val="60000"/>
              </a:schemeClr>
            </a:solidFill>
            <a:ln>
              <a:noFill/>
            </a:ln>
            <a:effectLst/>
          </c:spPr>
          <c:invertIfNegative val="0"/>
          <c:cat>
            <c:strRef>
              <c:f>'Pivot Table '!$D$4:$D$10</c:f>
              <c:strCache>
                <c:ptCount val="6"/>
                <c:pt idx="0">
                  <c:v>Beans 5kg</c:v>
                </c:pt>
                <c:pt idx="1">
                  <c:v>Rice 5kg</c:v>
                </c:pt>
                <c:pt idx="2">
                  <c:v>Cooking Oil 2L</c:v>
                </c:pt>
                <c:pt idx="3">
                  <c:v>Garri 5kg</c:v>
                </c:pt>
                <c:pt idx="4">
                  <c:v>Tomato Paste</c:v>
                </c:pt>
                <c:pt idx="5">
                  <c:v>Spaghetti</c:v>
                </c:pt>
              </c:strCache>
            </c:strRef>
          </c:cat>
          <c:val>
            <c:numRef>
              <c:f>'Pivot Table '!$F$4:$F$10</c:f>
              <c:numCache>
                <c:formatCode>_-[$₦-466]\ * #,##0_-;\-[$₦-466]\ * #,##0_-;_-[$₦-466]\ * "-"??_-;_-@_-</c:formatCode>
                <c:ptCount val="6"/>
                <c:pt idx="0">
                  <c:v>132950</c:v>
                </c:pt>
                <c:pt idx="1">
                  <c:v>161675</c:v>
                </c:pt>
                <c:pt idx="2">
                  <c:v>61650</c:v>
                </c:pt>
                <c:pt idx="3">
                  <c:v>44000</c:v>
                </c:pt>
                <c:pt idx="4">
                  <c:v>19260</c:v>
                </c:pt>
                <c:pt idx="5">
                  <c:v>15000</c:v>
                </c:pt>
              </c:numCache>
            </c:numRef>
          </c:val>
          <c:extLst>
            <c:ext xmlns:c16="http://schemas.microsoft.com/office/drawing/2014/chart" uri="{C3380CC4-5D6E-409C-BE32-E72D297353CC}">
              <c16:uniqueId val="{00000001-DAAE-4962-94C1-8FB037141C21}"/>
            </c:ext>
          </c:extLst>
        </c:ser>
        <c:dLbls>
          <c:showLegendKey val="0"/>
          <c:showVal val="0"/>
          <c:showCatName val="0"/>
          <c:showSerName val="0"/>
          <c:showPercent val="0"/>
          <c:showBubbleSize val="0"/>
        </c:dLbls>
        <c:gapWidth val="219"/>
        <c:overlap val="-27"/>
        <c:axId val="784368720"/>
        <c:axId val="784360080"/>
      </c:barChart>
      <c:catAx>
        <c:axId val="7843687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4360080"/>
        <c:crosses val="autoZero"/>
        <c:auto val="1"/>
        <c:lblAlgn val="ctr"/>
        <c:lblOffset val="100"/>
        <c:noMultiLvlLbl val="0"/>
      </c:catAx>
      <c:valAx>
        <c:axId val="784360080"/>
        <c:scaling>
          <c:orientation val="minMax"/>
        </c:scaling>
        <c:delete val="0"/>
        <c:axPos val="l"/>
        <c:numFmt formatCode="_-[$₦-466]\ * #,##0_-;\-[$₦-466]\ * #,##0_-;_-[$₦-466]\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436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[EasyShopping_Project_Messy_Sales_Data .xlsx]Pivot Table !Revenue by sales channel</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tx1"/>
                </a:solidFill>
              </a:rPr>
              <a:t>Revenue</a:t>
            </a:r>
            <a:r>
              <a:rPr lang="en-US" sz="1100" baseline="0">
                <a:solidFill>
                  <a:schemeClr val="tx1"/>
                </a:solidFill>
              </a:rPr>
              <a:t> by Sales Channel</a:t>
            </a:r>
            <a:endParaRPr lang="en-US" sz="1100">
              <a:solidFill>
                <a:schemeClr val="tx1"/>
              </a:solidFill>
            </a:endParaRPr>
          </a:p>
        </c:rich>
      </c:tx>
      <c:layout>
        <c:manualLayout>
          <c:xMode val="edge"/>
          <c:yMode val="edge"/>
          <c:x val="3.8548556430446211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tx2">
              <a:lumMod val="20000"/>
              <a:lumOff val="80000"/>
            </a:schemeClr>
          </a:solidFill>
          <a:ln w="19050">
            <a:solidFill>
              <a:schemeClr val="lt1"/>
            </a:solidFill>
          </a:ln>
          <a:effectLst/>
        </c:spPr>
      </c:pivotFmt>
      <c:pivotFmt>
        <c:idx val="4"/>
        <c:spPr>
          <a:solidFill>
            <a:schemeClr val="bg1">
              <a:lumMod val="9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50000"/>
            </a:schemeClr>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tx2">
              <a:lumMod val="20000"/>
              <a:lumOff val="80000"/>
            </a:schemeClr>
          </a:solidFill>
          <a:ln w="19050">
            <a:solidFill>
              <a:schemeClr val="lt1"/>
            </a:solidFill>
          </a:ln>
          <a:effectLst/>
        </c:spPr>
      </c:pivotFmt>
      <c:pivotFmt>
        <c:idx val="9"/>
        <c:spPr>
          <a:solidFill>
            <a:schemeClr val="bg1">
              <a:lumMod val="95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50000"/>
            </a:schemeClr>
          </a:solidFill>
          <a:ln w="19050">
            <a:solidFill>
              <a:schemeClr val="lt1"/>
            </a:solidFill>
          </a:ln>
          <a:effectLst/>
        </c:spPr>
      </c:pivotFmt>
      <c:pivotFmt>
        <c:idx val="12"/>
        <c:spPr>
          <a:solidFill>
            <a:schemeClr val="accent1">
              <a:lumMod val="75000"/>
            </a:schemeClr>
          </a:solidFill>
          <a:ln w="19050">
            <a:solidFill>
              <a:schemeClr val="lt1"/>
            </a:solidFill>
          </a:ln>
          <a:effectLst/>
        </c:spPr>
      </c:pivotFmt>
      <c:pivotFmt>
        <c:idx val="13"/>
        <c:spPr>
          <a:solidFill>
            <a:schemeClr val="tx2">
              <a:lumMod val="20000"/>
              <a:lumOff val="80000"/>
            </a:schemeClr>
          </a:solidFill>
          <a:ln w="19050">
            <a:solidFill>
              <a:schemeClr val="lt1"/>
            </a:solidFill>
          </a:ln>
          <a:effectLst/>
        </c:spPr>
      </c:pivotFmt>
      <c:pivotFmt>
        <c:idx val="14"/>
        <c:spPr>
          <a:solidFill>
            <a:schemeClr val="bg1">
              <a:lumMod val="95000"/>
            </a:schemeClr>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2">
              <a:lumMod val="50000"/>
            </a:schemeClr>
          </a:solidFill>
          <a:ln w="19050">
            <a:solidFill>
              <a:schemeClr val="lt1"/>
            </a:solidFill>
          </a:ln>
          <a:effectLst/>
        </c:spPr>
      </c:pivotFmt>
      <c:pivotFmt>
        <c:idx val="17"/>
        <c:spPr>
          <a:solidFill>
            <a:schemeClr val="accent1">
              <a:lumMod val="75000"/>
            </a:schemeClr>
          </a:solidFill>
          <a:ln w="19050">
            <a:solidFill>
              <a:schemeClr val="lt1"/>
            </a:solidFill>
          </a:ln>
          <a:effectLst/>
        </c:spPr>
      </c:pivotFmt>
      <c:pivotFmt>
        <c:idx val="18"/>
        <c:spPr>
          <a:solidFill>
            <a:schemeClr val="tx2">
              <a:lumMod val="20000"/>
              <a:lumOff val="80000"/>
            </a:schemeClr>
          </a:solidFill>
          <a:ln w="19050">
            <a:solidFill>
              <a:schemeClr val="lt1"/>
            </a:solidFill>
          </a:ln>
          <a:effectLst/>
        </c:spPr>
      </c:pivotFmt>
      <c:pivotFmt>
        <c:idx val="19"/>
        <c:spPr>
          <a:solidFill>
            <a:schemeClr val="bg1">
              <a:lumMod val="95000"/>
            </a:schemeClr>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tx2">
              <a:lumMod val="50000"/>
            </a:schemeClr>
          </a:solidFill>
          <a:ln w="19050">
            <a:solidFill>
              <a:schemeClr val="lt1"/>
            </a:solidFill>
          </a:ln>
          <a:effectLst/>
        </c:spPr>
      </c:pivotFmt>
      <c:pivotFmt>
        <c:idx val="22"/>
        <c:spPr>
          <a:solidFill>
            <a:schemeClr val="accent1">
              <a:lumMod val="75000"/>
            </a:schemeClr>
          </a:solidFill>
          <a:ln w="19050">
            <a:solidFill>
              <a:schemeClr val="lt1"/>
            </a:solidFill>
          </a:ln>
          <a:effectLst/>
        </c:spPr>
      </c:pivotFmt>
      <c:pivotFmt>
        <c:idx val="23"/>
        <c:spPr>
          <a:solidFill>
            <a:schemeClr val="tx2">
              <a:lumMod val="20000"/>
              <a:lumOff val="80000"/>
            </a:schemeClr>
          </a:solidFill>
          <a:ln w="19050">
            <a:solidFill>
              <a:schemeClr val="lt1"/>
            </a:solidFill>
          </a:ln>
          <a:effectLst/>
        </c:spPr>
      </c:pivotFmt>
      <c:pivotFmt>
        <c:idx val="24"/>
        <c:spPr>
          <a:solidFill>
            <a:schemeClr val="bg1">
              <a:lumMod val="95000"/>
            </a:schemeClr>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tx2">
              <a:lumMod val="50000"/>
            </a:schemeClr>
          </a:solidFill>
          <a:ln w="19050">
            <a:solidFill>
              <a:schemeClr val="lt1"/>
            </a:solidFill>
          </a:ln>
          <a:effectLst/>
        </c:spPr>
      </c:pivotFmt>
      <c:pivotFmt>
        <c:idx val="27"/>
        <c:spPr>
          <a:solidFill>
            <a:schemeClr val="accent1">
              <a:lumMod val="75000"/>
            </a:schemeClr>
          </a:solidFill>
          <a:ln w="19050">
            <a:solidFill>
              <a:schemeClr val="lt1"/>
            </a:solidFill>
          </a:ln>
          <a:effectLst/>
        </c:spPr>
      </c:pivotFmt>
      <c:pivotFmt>
        <c:idx val="28"/>
        <c:spPr>
          <a:solidFill>
            <a:schemeClr val="tx2">
              <a:lumMod val="20000"/>
              <a:lumOff val="80000"/>
            </a:schemeClr>
          </a:solidFill>
          <a:ln w="19050">
            <a:solidFill>
              <a:schemeClr val="lt1"/>
            </a:solidFill>
          </a:ln>
          <a:effectLst/>
        </c:spPr>
      </c:pivotFmt>
      <c:pivotFmt>
        <c:idx val="29"/>
        <c:spPr>
          <a:solidFill>
            <a:schemeClr val="bg1">
              <a:lumMod val="95000"/>
            </a:schemeClr>
          </a:solidFill>
          <a:ln w="19050">
            <a:solidFill>
              <a:schemeClr val="lt1"/>
            </a:solidFill>
          </a:ln>
          <a:effectLst/>
        </c:spPr>
      </c:pivotFmt>
    </c:pivotFmts>
    <c:plotArea>
      <c:layout/>
      <c:doughnutChart>
        <c:varyColors val="1"/>
        <c:ser>
          <c:idx val="0"/>
          <c:order val="0"/>
          <c:tx>
            <c:strRef>
              <c:f>'Pivot Table '!$I$14</c:f>
              <c:strCache>
                <c:ptCount val="1"/>
                <c:pt idx="0">
                  <c:v>Total</c:v>
                </c:pt>
              </c:strCache>
            </c:strRef>
          </c:tx>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1-7E9C-4690-AA38-EA79A57B8628}"/>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7E9C-4690-AA38-EA79A57B8628}"/>
              </c:ext>
            </c:extLst>
          </c:dPt>
          <c:dPt>
            <c:idx val="2"/>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5-7E9C-4690-AA38-EA79A57B8628}"/>
              </c:ext>
            </c:extLst>
          </c:dPt>
          <c:dPt>
            <c:idx val="3"/>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7-7E9C-4690-AA38-EA79A57B8628}"/>
              </c:ext>
            </c:extLst>
          </c:dPt>
          <c:cat>
            <c:strRef>
              <c:f>'Pivot Table '!$H$15:$H$19</c:f>
              <c:strCache>
                <c:ptCount val="4"/>
                <c:pt idx="0">
                  <c:v>WhatsApp</c:v>
                </c:pt>
                <c:pt idx="1">
                  <c:v>Phone call</c:v>
                </c:pt>
                <c:pt idx="2">
                  <c:v>Instagram</c:v>
                </c:pt>
                <c:pt idx="3">
                  <c:v>Walk-in</c:v>
                </c:pt>
              </c:strCache>
            </c:strRef>
          </c:cat>
          <c:val>
            <c:numRef>
              <c:f>'Pivot Table '!$I$15:$I$19</c:f>
              <c:numCache>
                <c:formatCode>0%</c:formatCode>
                <c:ptCount val="4"/>
                <c:pt idx="0">
                  <c:v>0.46695952999008095</c:v>
                </c:pt>
                <c:pt idx="1">
                  <c:v>0.2236004980624591</c:v>
                </c:pt>
                <c:pt idx="2">
                  <c:v>0.1649060775633252</c:v>
                </c:pt>
                <c:pt idx="3">
                  <c:v>0.14453389438413472</c:v>
                </c:pt>
              </c:numCache>
            </c:numRef>
          </c:val>
          <c:extLst>
            <c:ext xmlns:c16="http://schemas.microsoft.com/office/drawing/2014/chart" uri="{C3380CC4-5D6E-409C-BE32-E72D297353CC}">
              <c16:uniqueId val="{00000008-7E9C-4690-AA38-EA79A57B862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[EasyShopping_Project_Messy_Sales_Data .xlsx]Pivot Table !Revenue by City</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100">
                <a:solidFill>
                  <a:schemeClr val="tx1"/>
                </a:solidFill>
              </a:rPr>
              <a:t>Revenue</a:t>
            </a:r>
            <a:r>
              <a:rPr lang="en-US" sz="1100" baseline="0">
                <a:solidFill>
                  <a:schemeClr val="tx1"/>
                </a:solidFill>
              </a:rPr>
              <a:t> by City</a:t>
            </a:r>
            <a:endParaRPr lang="en-US" sz="1100">
              <a:solidFill>
                <a:schemeClr val="tx1"/>
              </a:solidFill>
            </a:endParaRPr>
          </a:p>
        </c:rich>
      </c:tx>
      <c:layout>
        <c:manualLayout>
          <c:xMode val="edge"/>
          <c:yMode val="edge"/>
          <c:x val="2.9144945243913457E-2"/>
          <c:y val="4.18848090796591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'!$E$13</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'!$D$14:$D$18</c:f>
              <c:strCache>
                <c:ptCount val="4"/>
                <c:pt idx="0">
                  <c:v>Port Harcourt</c:v>
                </c:pt>
                <c:pt idx="1">
                  <c:v>Abuja</c:v>
                </c:pt>
                <c:pt idx="2">
                  <c:v>Ibadan</c:v>
                </c:pt>
                <c:pt idx="3">
                  <c:v>Lagos</c:v>
                </c:pt>
              </c:strCache>
            </c:strRef>
          </c:cat>
          <c:val>
            <c:numRef>
              <c:f>'Pivot Table '!$E$14:$E$18</c:f>
              <c:numCache>
                <c:formatCode>_-[$₦-466]\ * #,##0_-;\-[$₦-466]\ * #,##0_-;_-[$₦-466]\ * "-"??_-;_-@_-</c:formatCode>
                <c:ptCount val="4"/>
                <c:pt idx="0">
                  <c:v>443820</c:v>
                </c:pt>
                <c:pt idx="1">
                  <c:v>447850</c:v>
                </c:pt>
                <c:pt idx="2">
                  <c:v>718780</c:v>
                </c:pt>
                <c:pt idx="3">
                  <c:v>1469485</c:v>
                </c:pt>
              </c:numCache>
            </c:numRef>
          </c:val>
          <c:extLst>
            <c:ext xmlns:c16="http://schemas.microsoft.com/office/drawing/2014/chart" uri="{C3380CC4-5D6E-409C-BE32-E72D297353CC}">
              <c16:uniqueId val="{00000000-E3EB-4F8A-8613-6054C4A9D879}"/>
            </c:ext>
          </c:extLst>
        </c:ser>
        <c:dLbls>
          <c:dLblPos val="outEnd"/>
          <c:showLegendKey val="0"/>
          <c:showVal val="1"/>
          <c:showCatName val="0"/>
          <c:showSerName val="0"/>
          <c:showPercent val="0"/>
          <c:showBubbleSize val="0"/>
        </c:dLbls>
        <c:gapWidth val="182"/>
        <c:axId val="819021392"/>
        <c:axId val="819019472"/>
      </c:barChart>
      <c:catAx>
        <c:axId val="81902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19019472"/>
        <c:crosses val="autoZero"/>
        <c:auto val="1"/>
        <c:lblAlgn val="ctr"/>
        <c:lblOffset val="100"/>
        <c:noMultiLvlLbl val="0"/>
      </c:catAx>
      <c:valAx>
        <c:axId val="819019472"/>
        <c:scaling>
          <c:orientation val="minMax"/>
        </c:scaling>
        <c:delete val="0"/>
        <c:axPos val="b"/>
        <c:numFmt formatCode="_-[$₦-466]\ * #,##0_-;\-[$₦-466]\ * #,##0_-;_-[$₦-466]\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1902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[EasyShopping_Project_Messy_Sales_Data .xlsx]Pivot Table !REVENUE AND PROFIT BY PRODUCT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tx1"/>
                </a:solidFill>
              </a:rPr>
              <a:t>Revenue and</a:t>
            </a:r>
            <a:r>
              <a:rPr lang="en-US" sz="1100" baseline="0">
                <a:solidFill>
                  <a:schemeClr val="tx1"/>
                </a:solidFill>
              </a:rPr>
              <a:t> Profit by Product</a:t>
            </a:r>
            <a:endParaRPr lang="en-US" sz="1100">
              <a:solidFill>
                <a:schemeClr val="tx1"/>
              </a:solidFill>
            </a:endParaRPr>
          </a:p>
        </c:rich>
      </c:tx>
      <c:layout>
        <c:manualLayout>
          <c:xMode val="edge"/>
          <c:yMode val="edge"/>
          <c:x val="2.4222222222222218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'!$E$3</c:f>
              <c:strCache>
                <c:ptCount val="1"/>
                <c:pt idx="0">
                  <c:v>Sum of Total Sales</c:v>
                </c:pt>
              </c:strCache>
            </c:strRef>
          </c:tx>
          <c:spPr>
            <a:solidFill>
              <a:schemeClr val="tx2">
                <a:lumMod val="50000"/>
              </a:schemeClr>
            </a:solidFill>
            <a:ln>
              <a:noFill/>
            </a:ln>
            <a:effectLst/>
          </c:spPr>
          <c:invertIfNegative val="0"/>
          <c:cat>
            <c:strRef>
              <c:f>'Pivot Table '!$D$4:$D$10</c:f>
              <c:strCache>
                <c:ptCount val="6"/>
                <c:pt idx="0">
                  <c:v>Beans 5kg</c:v>
                </c:pt>
                <c:pt idx="1">
                  <c:v>Rice 5kg</c:v>
                </c:pt>
                <c:pt idx="2">
                  <c:v>Cooking Oil 2L</c:v>
                </c:pt>
                <c:pt idx="3">
                  <c:v>Garri 5kg</c:v>
                </c:pt>
                <c:pt idx="4">
                  <c:v>Tomato Paste</c:v>
                </c:pt>
                <c:pt idx="5">
                  <c:v>Spaghetti</c:v>
                </c:pt>
              </c:strCache>
            </c:strRef>
          </c:cat>
          <c:val>
            <c:numRef>
              <c:f>'Pivot Table '!$E$4:$E$10</c:f>
              <c:numCache>
                <c:formatCode>_-[$₦-466]\ * #,##0_-;\-[$₦-466]\ * #,##0_-;_-[$₦-466]\ * "-"??_-;_-@_-</c:formatCode>
                <c:ptCount val="6"/>
                <c:pt idx="0">
                  <c:v>1120950</c:v>
                </c:pt>
                <c:pt idx="1">
                  <c:v>1092675</c:v>
                </c:pt>
                <c:pt idx="2">
                  <c:v>452250</c:v>
                </c:pt>
                <c:pt idx="3">
                  <c:v>252000</c:v>
                </c:pt>
                <c:pt idx="4">
                  <c:v>94860</c:v>
                </c:pt>
                <c:pt idx="5">
                  <c:v>67200</c:v>
                </c:pt>
              </c:numCache>
            </c:numRef>
          </c:val>
          <c:extLst>
            <c:ext xmlns:c16="http://schemas.microsoft.com/office/drawing/2014/chart" uri="{C3380CC4-5D6E-409C-BE32-E72D297353CC}">
              <c16:uniqueId val="{00000000-3B70-411F-B09F-3985521080C5}"/>
            </c:ext>
          </c:extLst>
        </c:ser>
        <c:ser>
          <c:idx val="1"/>
          <c:order val="1"/>
          <c:tx>
            <c:strRef>
              <c:f>'Pivot Table '!$F$3</c:f>
              <c:strCache>
                <c:ptCount val="1"/>
                <c:pt idx="0">
                  <c:v>Sum of Profit</c:v>
                </c:pt>
              </c:strCache>
            </c:strRef>
          </c:tx>
          <c:spPr>
            <a:solidFill>
              <a:schemeClr val="tx2">
                <a:lumMod val="40000"/>
                <a:lumOff val="60000"/>
              </a:schemeClr>
            </a:solidFill>
            <a:ln>
              <a:noFill/>
            </a:ln>
            <a:effectLst/>
          </c:spPr>
          <c:invertIfNegative val="0"/>
          <c:cat>
            <c:strRef>
              <c:f>'Pivot Table '!$D$4:$D$10</c:f>
              <c:strCache>
                <c:ptCount val="6"/>
                <c:pt idx="0">
                  <c:v>Beans 5kg</c:v>
                </c:pt>
                <c:pt idx="1">
                  <c:v>Rice 5kg</c:v>
                </c:pt>
                <c:pt idx="2">
                  <c:v>Cooking Oil 2L</c:v>
                </c:pt>
                <c:pt idx="3">
                  <c:v>Garri 5kg</c:v>
                </c:pt>
                <c:pt idx="4">
                  <c:v>Tomato Paste</c:v>
                </c:pt>
                <c:pt idx="5">
                  <c:v>Spaghetti</c:v>
                </c:pt>
              </c:strCache>
            </c:strRef>
          </c:cat>
          <c:val>
            <c:numRef>
              <c:f>'Pivot Table '!$F$4:$F$10</c:f>
              <c:numCache>
                <c:formatCode>_-[$₦-466]\ * #,##0_-;\-[$₦-466]\ * #,##0_-;_-[$₦-466]\ * "-"??_-;_-@_-</c:formatCode>
                <c:ptCount val="6"/>
                <c:pt idx="0">
                  <c:v>132950</c:v>
                </c:pt>
                <c:pt idx="1">
                  <c:v>161675</c:v>
                </c:pt>
                <c:pt idx="2">
                  <c:v>61650</c:v>
                </c:pt>
                <c:pt idx="3">
                  <c:v>44000</c:v>
                </c:pt>
                <c:pt idx="4">
                  <c:v>19260</c:v>
                </c:pt>
                <c:pt idx="5">
                  <c:v>15000</c:v>
                </c:pt>
              </c:numCache>
            </c:numRef>
          </c:val>
          <c:extLst>
            <c:ext xmlns:c16="http://schemas.microsoft.com/office/drawing/2014/chart" uri="{C3380CC4-5D6E-409C-BE32-E72D297353CC}">
              <c16:uniqueId val="{00000001-3B70-411F-B09F-3985521080C5}"/>
            </c:ext>
          </c:extLst>
        </c:ser>
        <c:dLbls>
          <c:showLegendKey val="0"/>
          <c:showVal val="0"/>
          <c:showCatName val="0"/>
          <c:showSerName val="0"/>
          <c:showPercent val="0"/>
          <c:showBubbleSize val="0"/>
        </c:dLbls>
        <c:gapWidth val="219"/>
        <c:overlap val="-27"/>
        <c:axId val="784368720"/>
        <c:axId val="784360080"/>
      </c:barChart>
      <c:catAx>
        <c:axId val="7843687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4360080"/>
        <c:crosses val="autoZero"/>
        <c:auto val="1"/>
        <c:lblAlgn val="ctr"/>
        <c:lblOffset val="100"/>
        <c:noMultiLvlLbl val="0"/>
      </c:catAx>
      <c:valAx>
        <c:axId val="784360080"/>
        <c:scaling>
          <c:orientation val="minMax"/>
        </c:scaling>
        <c:delete val="0"/>
        <c:axPos val="l"/>
        <c:numFmt formatCode="_-[$₦-466]\ * #,##0_-;\-[$₦-466]\ * #,##0_-;_-[$₦-466]\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436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[EasyShopping_Project_Messy_Sales_Data .xlsx]Pivot Table !Revenue by Month</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tx1"/>
                </a:solidFill>
              </a:rPr>
              <a:t>Revenue</a:t>
            </a:r>
            <a:r>
              <a:rPr lang="en-US" sz="1100" baseline="0">
                <a:solidFill>
                  <a:schemeClr val="tx1"/>
                </a:solidFill>
              </a:rPr>
              <a:t> by Month</a:t>
            </a:r>
            <a:endParaRPr lang="en-US" sz="1100">
              <a:solidFill>
                <a:schemeClr val="tx1"/>
              </a:solidFill>
            </a:endParaRPr>
          </a:p>
        </c:rich>
      </c:tx>
      <c:layout>
        <c:manualLayout>
          <c:xMode val="edge"/>
          <c:yMode val="edge"/>
          <c:x val="2.3458223972003527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2">
                <a:lumMod val="75000"/>
              </a:schemeClr>
            </a:solidFill>
            <a:round/>
          </a:ln>
          <a:effectLst/>
        </c:spPr>
        <c:marker>
          <c:symbol val="circle"/>
          <c:size val="5"/>
          <c:spPr>
            <a:solidFill>
              <a:schemeClr val="tx2">
                <a:lumMod val="50000"/>
              </a:schemeClr>
            </a:solidFill>
            <a:ln w="9525">
              <a:solidFill>
                <a:schemeClr val="tx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2">
                <a:lumMod val="75000"/>
              </a:schemeClr>
            </a:solidFill>
            <a:round/>
          </a:ln>
          <a:effectLst/>
        </c:spPr>
        <c:marker>
          <c:symbol val="circle"/>
          <c:size val="5"/>
          <c:spPr>
            <a:solidFill>
              <a:schemeClr val="tx2">
                <a:lumMod val="50000"/>
              </a:schemeClr>
            </a:solidFill>
            <a:ln w="9525">
              <a:solidFill>
                <a:schemeClr val="tx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2">
                <a:lumMod val="75000"/>
              </a:schemeClr>
            </a:solidFill>
            <a:round/>
          </a:ln>
          <a:effectLst/>
        </c:spPr>
        <c:marker>
          <c:symbol val="circle"/>
          <c:size val="5"/>
          <c:spPr>
            <a:solidFill>
              <a:schemeClr val="tx2">
                <a:lumMod val="50000"/>
              </a:schemeClr>
            </a:solidFill>
            <a:ln w="9525">
              <a:solidFill>
                <a:schemeClr val="tx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tx2">
                <a:lumMod val="75000"/>
              </a:schemeClr>
            </a:solidFill>
            <a:round/>
          </a:ln>
          <a:effectLst/>
        </c:spPr>
        <c:marker>
          <c:symbol val="circle"/>
          <c:size val="5"/>
          <c:spPr>
            <a:solidFill>
              <a:schemeClr val="tx2">
                <a:lumMod val="50000"/>
              </a:schemeClr>
            </a:solidFill>
            <a:ln w="9525">
              <a:solidFill>
                <a:schemeClr val="tx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'!$I$3</c:f>
              <c:strCache>
                <c:ptCount val="1"/>
                <c:pt idx="0">
                  <c:v>Total</c:v>
                </c:pt>
              </c:strCache>
            </c:strRef>
          </c:tx>
          <c:spPr>
            <a:ln w="28575" cap="rnd">
              <a:solidFill>
                <a:schemeClr val="tx2">
                  <a:lumMod val="75000"/>
                </a:schemeClr>
              </a:solidFill>
              <a:round/>
            </a:ln>
            <a:effectLst/>
          </c:spPr>
          <c:marker>
            <c:symbol val="circle"/>
            <c:size val="5"/>
            <c:spPr>
              <a:solidFill>
                <a:schemeClr val="tx2">
                  <a:lumMod val="50000"/>
                </a:schemeClr>
              </a:solidFill>
              <a:ln w="9525">
                <a:solidFill>
                  <a:schemeClr val="tx2">
                    <a:lumMod val="75000"/>
                  </a:schemeClr>
                </a:solidFill>
              </a:ln>
              <a:effectLst/>
            </c:spPr>
          </c:marker>
          <c:cat>
            <c:strRef>
              <c:f>'Pivot Table '!$H$4:$H$10</c:f>
              <c:strCache>
                <c:ptCount val="6"/>
                <c:pt idx="0">
                  <c:v>January</c:v>
                </c:pt>
                <c:pt idx="1">
                  <c:v>March</c:v>
                </c:pt>
                <c:pt idx="2">
                  <c:v>April</c:v>
                </c:pt>
                <c:pt idx="3">
                  <c:v>June</c:v>
                </c:pt>
                <c:pt idx="4">
                  <c:v>February</c:v>
                </c:pt>
                <c:pt idx="5">
                  <c:v>May</c:v>
                </c:pt>
              </c:strCache>
            </c:strRef>
          </c:cat>
          <c:val>
            <c:numRef>
              <c:f>'Pivot Table '!$I$4:$I$10</c:f>
              <c:numCache>
                <c:formatCode>_-[$₦-466]\ * #,##0_-;\-[$₦-466]\ * #,##0_-;_-[$₦-466]\ * "-"??_-;_-@_-</c:formatCode>
                <c:ptCount val="6"/>
                <c:pt idx="0">
                  <c:v>594415</c:v>
                </c:pt>
                <c:pt idx="1">
                  <c:v>555750</c:v>
                </c:pt>
                <c:pt idx="2">
                  <c:v>506845</c:v>
                </c:pt>
                <c:pt idx="3">
                  <c:v>500940</c:v>
                </c:pt>
                <c:pt idx="4">
                  <c:v>472085</c:v>
                </c:pt>
                <c:pt idx="5">
                  <c:v>449900</c:v>
                </c:pt>
              </c:numCache>
            </c:numRef>
          </c:val>
          <c:smooth val="0"/>
          <c:extLst>
            <c:ext xmlns:c16="http://schemas.microsoft.com/office/drawing/2014/chart" uri="{C3380CC4-5D6E-409C-BE32-E72D297353CC}">
              <c16:uniqueId val="{00000000-3AEF-4814-9A93-E024F1F92FB0}"/>
            </c:ext>
          </c:extLst>
        </c:ser>
        <c:dLbls>
          <c:showLegendKey val="0"/>
          <c:showVal val="0"/>
          <c:showCatName val="0"/>
          <c:showSerName val="0"/>
          <c:showPercent val="0"/>
          <c:showBubbleSize val="0"/>
        </c:dLbls>
        <c:marker val="1"/>
        <c:smooth val="0"/>
        <c:axId val="784359600"/>
        <c:axId val="784347600"/>
      </c:lineChart>
      <c:catAx>
        <c:axId val="7843596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4347600"/>
        <c:crosses val="autoZero"/>
        <c:auto val="1"/>
        <c:lblAlgn val="ctr"/>
        <c:lblOffset val="100"/>
        <c:noMultiLvlLbl val="0"/>
      </c:catAx>
      <c:valAx>
        <c:axId val="784347600"/>
        <c:scaling>
          <c:orientation val="minMax"/>
        </c:scaling>
        <c:delete val="0"/>
        <c:axPos val="l"/>
        <c:numFmt formatCode="_-[$₦-466]\ * #,##0_-;\-[$₦-466]\ * #,##0_-;_-[$₦-466]\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435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[EasyShopping_Project_Messy_Sales_Data .xlsx]Pivot Table !Revenue by sales channel</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tx1"/>
                </a:solidFill>
              </a:rPr>
              <a:t>Revenue</a:t>
            </a:r>
            <a:r>
              <a:rPr lang="en-US" sz="1100" baseline="0">
                <a:solidFill>
                  <a:schemeClr val="tx1"/>
                </a:solidFill>
              </a:rPr>
              <a:t> by Sales Channel</a:t>
            </a:r>
            <a:endParaRPr lang="en-US" sz="1100">
              <a:solidFill>
                <a:schemeClr val="tx1"/>
              </a:solidFill>
            </a:endParaRPr>
          </a:p>
        </c:rich>
      </c:tx>
      <c:layout>
        <c:manualLayout>
          <c:xMode val="edge"/>
          <c:yMode val="edge"/>
          <c:x val="3.8548556430446211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tx2">
              <a:lumMod val="20000"/>
              <a:lumOff val="80000"/>
            </a:schemeClr>
          </a:solidFill>
          <a:ln w="19050">
            <a:solidFill>
              <a:schemeClr val="lt1"/>
            </a:solidFill>
          </a:ln>
          <a:effectLst/>
        </c:spPr>
      </c:pivotFmt>
      <c:pivotFmt>
        <c:idx val="4"/>
        <c:spPr>
          <a:solidFill>
            <a:schemeClr val="bg1">
              <a:lumMod val="9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50000"/>
            </a:schemeClr>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tx2">
              <a:lumMod val="20000"/>
              <a:lumOff val="80000"/>
            </a:schemeClr>
          </a:solidFill>
          <a:ln w="19050">
            <a:solidFill>
              <a:schemeClr val="lt1"/>
            </a:solidFill>
          </a:ln>
          <a:effectLst/>
        </c:spPr>
      </c:pivotFmt>
      <c:pivotFmt>
        <c:idx val="9"/>
        <c:spPr>
          <a:solidFill>
            <a:schemeClr val="bg1">
              <a:lumMod val="95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50000"/>
            </a:schemeClr>
          </a:solidFill>
          <a:ln w="19050">
            <a:solidFill>
              <a:schemeClr val="lt1"/>
            </a:solidFill>
          </a:ln>
          <a:effectLst/>
        </c:spPr>
      </c:pivotFmt>
      <c:pivotFmt>
        <c:idx val="12"/>
        <c:spPr>
          <a:solidFill>
            <a:schemeClr val="accent1">
              <a:lumMod val="75000"/>
            </a:schemeClr>
          </a:solidFill>
          <a:ln w="19050">
            <a:solidFill>
              <a:schemeClr val="lt1"/>
            </a:solidFill>
          </a:ln>
          <a:effectLst/>
        </c:spPr>
      </c:pivotFmt>
      <c:pivotFmt>
        <c:idx val="13"/>
        <c:spPr>
          <a:solidFill>
            <a:schemeClr val="tx2">
              <a:lumMod val="20000"/>
              <a:lumOff val="80000"/>
            </a:schemeClr>
          </a:solidFill>
          <a:ln w="19050">
            <a:solidFill>
              <a:schemeClr val="lt1"/>
            </a:solidFill>
          </a:ln>
          <a:effectLst/>
        </c:spPr>
      </c:pivotFmt>
      <c:pivotFmt>
        <c:idx val="14"/>
        <c:spPr>
          <a:solidFill>
            <a:schemeClr val="bg1">
              <a:lumMod val="95000"/>
            </a:schemeClr>
          </a:solidFill>
          <a:ln w="19050">
            <a:solidFill>
              <a:schemeClr val="lt1"/>
            </a:solidFill>
          </a:ln>
          <a:effectLst/>
        </c:spPr>
      </c:pivotFmt>
    </c:pivotFmts>
    <c:plotArea>
      <c:layout/>
      <c:doughnutChart>
        <c:varyColors val="1"/>
        <c:ser>
          <c:idx val="0"/>
          <c:order val="0"/>
          <c:tx>
            <c:strRef>
              <c:f>'Pivot Table '!$I$14</c:f>
              <c:strCache>
                <c:ptCount val="1"/>
                <c:pt idx="0">
                  <c:v>Total</c:v>
                </c:pt>
              </c:strCache>
            </c:strRef>
          </c:tx>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1-0085-48FA-949F-5F1585814302}"/>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0085-48FA-949F-5F1585814302}"/>
              </c:ext>
            </c:extLst>
          </c:dPt>
          <c:dPt>
            <c:idx val="2"/>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5-0085-48FA-949F-5F1585814302}"/>
              </c:ext>
            </c:extLst>
          </c:dPt>
          <c:dPt>
            <c:idx val="3"/>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7-0085-48FA-949F-5F1585814302}"/>
              </c:ext>
            </c:extLst>
          </c:dPt>
          <c:cat>
            <c:strRef>
              <c:f>'Pivot Table '!$H$15:$H$19</c:f>
              <c:strCache>
                <c:ptCount val="4"/>
                <c:pt idx="0">
                  <c:v>WhatsApp</c:v>
                </c:pt>
                <c:pt idx="1">
                  <c:v>Phone call</c:v>
                </c:pt>
                <c:pt idx="2">
                  <c:v>Instagram</c:v>
                </c:pt>
                <c:pt idx="3">
                  <c:v>Walk-in</c:v>
                </c:pt>
              </c:strCache>
            </c:strRef>
          </c:cat>
          <c:val>
            <c:numRef>
              <c:f>'Pivot Table '!$I$15:$I$19</c:f>
              <c:numCache>
                <c:formatCode>0%</c:formatCode>
                <c:ptCount val="4"/>
                <c:pt idx="0">
                  <c:v>0.46695952999008095</c:v>
                </c:pt>
                <c:pt idx="1">
                  <c:v>0.2236004980624591</c:v>
                </c:pt>
                <c:pt idx="2">
                  <c:v>0.1649060775633252</c:v>
                </c:pt>
                <c:pt idx="3">
                  <c:v>0.14453389438413472</c:v>
                </c:pt>
              </c:numCache>
            </c:numRef>
          </c:val>
          <c:extLst>
            <c:ext xmlns:c16="http://schemas.microsoft.com/office/drawing/2014/chart" uri="{C3380CC4-5D6E-409C-BE32-E72D297353CC}">
              <c16:uniqueId val="{00000008-0085-48FA-949F-5F158581430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[EasyShopping_Project_Messy_Sales_Data .xlsx]Pivot Table !Revenue by City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Revenue</a:t>
            </a:r>
            <a:r>
              <a:rPr lang="en-US" sz="1100" baseline="0"/>
              <a:t> by City</a:t>
            </a:r>
            <a:endParaRPr lang="en-US" sz="1100"/>
          </a:p>
        </c:rich>
      </c:tx>
      <c:layout>
        <c:manualLayout>
          <c:xMode val="edge"/>
          <c:yMode val="edge"/>
          <c:x val="2.9144945243913457E-2"/>
          <c:y val="4.18848090796591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'!$E$13</c:f>
              <c:strCache>
                <c:ptCount val="1"/>
                <c:pt idx="0">
                  <c:v>Total</c:v>
                </c:pt>
              </c:strCache>
            </c:strRef>
          </c:tx>
          <c:spPr>
            <a:solidFill>
              <a:schemeClr val="tx2">
                <a:lumMod val="75000"/>
              </a:schemeClr>
            </a:solidFill>
            <a:ln>
              <a:noFill/>
            </a:ln>
            <a:effectLst/>
          </c:spPr>
          <c:invertIfNegative val="0"/>
          <c:cat>
            <c:strRef>
              <c:f>'Pivot Table '!$D$14:$D$18</c:f>
              <c:strCache>
                <c:ptCount val="4"/>
                <c:pt idx="0">
                  <c:v>Port Harcourt</c:v>
                </c:pt>
                <c:pt idx="1">
                  <c:v>Abuja</c:v>
                </c:pt>
                <c:pt idx="2">
                  <c:v>Ibadan</c:v>
                </c:pt>
                <c:pt idx="3">
                  <c:v>Lagos</c:v>
                </c:pt>
              </c:strCache>
            </c:strRef>
          </c:cat>
          <c:val>
            <c:numRef>
              <c:f>'Pivot Table '!$E$14:$E$18</c:f>
              <c:numCache>
                <c:formatCode>_-[$₦-466]\ * #,##0_-;\-[$₦-466]\ * #,##0_-;_-[$₦-466]\ * "-"??_-;_-@_-</c:formatCode>
                <c:ptCount val="4"/>
                <c:pt idx="0">
                  <c:v>443820</c:v>
                </c:pt>
                <c:pt idx="1">
                  <c:v>447850</c:v>
                </c:pt>
                <c:pt idx="2">
                  <c:v>718780</c:v>
                </c:pt>
                <c:pt idx="3">
                  <c:v>1469485</c:v>
                </c:pt>
              </c:numCache>
            </c:numRef>
          </c:val>
          <c:extLst>
            <c:ext xmlns:c16="http://schemas.microsoft.com/office/drawing/2014/chart" uri="{C3380CC4-5D6E-409C-BE32-E72D297353CC}">
              <c16:uniqueId val="{00000000-8267-4C39-86B1-69E6185857B7}"/>
            </c:ext>
          </c:extLst>
        </c:ser>
        <c:dLbls>
          <c:showLegendKey val="0"/>
          <c:showVal val="0"/>
          <c:showCatName val="0"/>
          <c:showSerName val="0"/>
          <c:showPercent val="0"/>
          <c:showBubbleSize val="0"/>
        </c:dLbls>
        <c:gapWidth val="182"/>
        <c:axId val="819021392"/>
        <c:axId val="819019472"/>
      </c:barChart>
      <c:catAx>
        <c:axId val="81902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019472"/>
        <c:crosses val="autoZero"/>
        <c:auto val="1"/>
        <c:lblAlgn val="ctr"/>
        <c:lblOffset val="100"/>
        <c:noMultiLvlLbl val="0"/>
      </c:catAx>
      <c:valAx>
        <c:axId val="819019472"/>
        <c:scaling>
          <c:orientation val="minMax"/>
        </c:scaling>
        <c:delete val="0"/>
        <c:axPos val="b"/>
        <c:numFmt formatCode="_-[$₦-466]\ * #,##0_-;\-[$₦-466]\ * #,##0_-;_-[$₦-466]\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02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123824</xdr:colOff>
      <xdr:row>2</xdr:row>
      <xdr:rowOff>119062</xdr:rowOff>
    </xdr:from>
    <xdr:to>
      <xdr:col>1</xdr:col>
      <xdr:colOff>154780</xdr:colOff>
      <xdr:row>30</xdr:row>
      <xdr:rowOff>107156</xdr:rowOff>
    </xdr:to>
    <xdr:sp macro="" textlink="">
      <xdr:nvSpPr>
        <xdr:cNvPr id="2" name="Rectangle 1">
          <a:extLst>
            <a:ext uri="{FF2B5EF4-FFF2-40B4-BE49-F238E27FC236}">
              <a16:creationId xmlns:a16="http://schemas.microsoft.com/office/drawing/2014/main" id="{1A2ED679-BC7C-4F2C-971D-1091F076DFCA}"/>
            </a:ext>
          </a:extLst>
        </xdr:cNvPr>
        <xdr:cNvSpPr/>
      </xdr:nvSpPr>
      <xdr:spPr>
        <a:xfrm>
          <a:off x="123824" y="500062"/>
          <a:ext cx="634206" cy="5322094"/>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261937</xdr:colOff>
      <xdr:row>6</xdr:row>
      <xdr:rowOff>123825</xdr:rowOff>
    </xdr:from>
    <xdr:to>
      <xdr:col>5</xdr:col>
      <xdr:colOff>511968</xdr:colOff>
      <xdr:row>12</xdr:row>
      <xdr:rowOff>52387</xdr:rowOff>
    </xdr:to>
    <xdr:sp macro="" textlink="">
      <xdr:nvSpPr>
        <xdr:cNvPr id="3" name="Rectangle 2">
          <a:extLst>
            <a:ext uri="{FF2B5EF4-FFF2-40B4-BE49-F238E27FC236}">
              <a16:creationId xmlns:a16="http://schemas.microsoft.com/office/drawing/2014/main" id="{AAD77491-7FD6-4679-9477-C14FF41FF896}"/>
            </a:ext>
          </a:extLst>
        </xdr:cNvPr>
        <xdr:cNvSpPr/>
      </xdr:nvSpPr>
      <xdr:spPr>
        <a:xfrm>
          <a:off x="871537" y="1266825"/>
          <a:ext cx="2688431" cy="10715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9525</xdr:colOff>
      <xdr:row>6</xdr:row>
      <xdr:rowOff>123825</xdr:rowOff>
    </xdr:from>
    <xdr:to>
      <xdr:col>10</xdr:col>
      <xdr:colOff>259556</xdr:colOff>
      <xdr:row>12</xdr:row>
      <xdr:rowOff>52387</xdr:rowOff>
    </xdr:to>
    <xdr:sp macro="" textlink="">
      <xdr:nvSpPr>
        <xdr:cNvPr id="4" name="Rectangle 3">
          <a:extLst>
            <a:ext uri="{FF2B5EF4-FFF2-40B4-BE49-F238E27FC236}">
              <a16:creationId xmlns:a16="http://schemas.microsoft.com/office/drawing/2014/main" id="{BAD5784A-3ADA-4BBE-BB80-4F3E56953BB7}"/>
            </a:ext>
          </a:extLst>
        </xdr:cNvPr>
        <xdr:cNvSpPr/>
      </xdr:nvSpPr>
      <xdr:spPr>
        <a:xfrm>
          <a:off x="3667125" y="1266825"/>
          <a:ext cx="2688431" cy="10715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265113</xdr:colOff>
      <xdr:row>12</xdr:row>
      <xdr:rowOff>161925</xdr:rowOff>
    </xdr:from>
    <xdr:to>
      <xdr:col>5</xdr:col>
      <xdr:colOff>515144</xdr:colOff>
      <xdr:row>18</xdr:row>
      <xdr:rowOff>90487</xdr:rowOff>
    </xdr:to>
    <xdr:sp macro="" textlink="">
      <xdr:nvSpPr>
        <xdr:cNvPr id="5" name="Rectangle 4">
          <a:extLst>
            <a:ext uri="{FF2B5EF4-FFF2-40B4-BE49-F238E27FC236}">
              <a16:creationId xmlns:a16="http://schemas.microsoft.com/office/drawing/2014/main" id="{20F9EA61-73EC-4995-936D-68074C32436B}"/>
            </a:ext>
          </a:extLst>
        </xdr:cNvPr>
        <xdr:cNvSpPr/>
      </xdr:nvSpPr>
      <xdr:spPr>
        <a:xfrm>
          <a:off x="868363" y="2447925"/>
          <a:ext cx="2663031" cy="10715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19050</xdr:colOff>
      <xdr:row>12</xdr:row>
      <xdr:rowOff>161925</xdr:rowOff>
    </xdr:from>
    <xdr:to>
      <xdr:col>10</xdr:col>
      <xdr:colOff>269081</xdr:colOff>
      <xdr:row>18</xdr:row>
      <xdr:rowOff>90487</xdr:rowOff>
    </xdr:to>
    <xdr:sp macro="" textlink="">
      <xdr:nvSpPr>
        <xdr:cNvPr id="6" name="Rectangle 5">
          <a:extLst>
            <a:ext uri="{FF2B5EF4-FFF2-40B4-BE49-F238E27FC236}">
              <a16:creationId xmlns:a16="http://schemas.microsoft.com/office/drawing/2014/main" id="{58EA2A6A-383A-41B5-8688-056103CC0A8C}"/>
            </a:ext>
          </a:extLst>
        </xdr:cNvPr>
        <xdr:cNvSpPr/>
      </xdr:nvSpPr>
      <xdr:spPr>
        <a:xfrm>
          <a:off x="3676650" y="2447925"/>
          <a:ext cx="2688431" cy="10715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392906</xdr:colOff>
      <xdr:row>6</xdr:row>
      <xdr:rowOff>109538</xdr:rowOff>
    </xdr:from>
    <xdr:to>
      <xdr:col>17</xdr:col>
      <xdr:colOff>178592</xdr:colOff>
      <xdr:row>18</xdr:row>
      <xdr:rowOff>83344</xdr:rowOff>
    </xdr:to>
    <xdr:sp macro="" textlink="">
      <xdr:nvSpPr>
        <xdr:cNvPr id="7" name="Rectangle 6">
          <a:extLst>
            <a:ext uri="{FF2B5EF4-FFF2-40B4-BE49-F238E27FC236}">
              <a16:creationId xmlns:a16="http://schemas.microsoft.com/office/drawing/2014/main" id="{29494E60-6122-4470-B235-4A72E715C222}"/>
            </a:ext>
          </a:extLst>
        </xdr:cNvPr>
        <xdr:cNvSpPr/>
      </xdr:nvSpPr>
      <xdr:spPr>
        <a:xfrm>
          <a:off x="6488906" y="1252538"/>
          <a:ext cx="4052886" cy="225980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295275</xdr:colOff>
      <xdr:row>6</xdr:row>
      <xdr:rowOff>83343</xdr:rowOff>
    </xdr:from>
    <xdr:to>
      <xdr:col>24</xdr:col>
      <xdr:colOff>80961</xdr:colOff>
      <xdr:row>30</xdr:row>
      <xdr:rowOff>166686</xdr:rowOff>
    </xdr:to>
    <xdr:sp macro="" textlink="">
      <xdr:nvSpPr>
        <xdr:cNvPr id="8" name="Rectangle 7">
          <a:extLst>
            <a:ext uri="{FF2B5EF4-FFF2-40B4-BE49-F238E27FC236}">
              <a16:creationId xmlns:a16="http://schemas.microsoft.com/office/drawing/2014/main" id="{76CAA76F-B697-4FFC-9D6B-5AD922FFABE1}"/>
            </a:ext>
          </a:extLst>
        </xdr:cNvPr>
        <xdr:cNvSpPr/>
      </xdr:nvSpPr>
      <xdr:spPr>
        <a:xfrm>
          <a:off x="10658475" y="1226343"/>
          <a:ext cx="4052886" cy="465534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285749</xdr:colOff>
      <xdr:row>2</xdr:row>
      <xdr:rowOff>47624</xdr:rowOff>
    </xdr:from>
    <xdr:to>
      <xdr:col>24</xdr:col>
      <xdr:colOff>59531</xdr:colOff>
      <xdr:row>5</xdr:row>
      <xdr:rowOff>178591</xdr:rowOff>
    </xdr:to>
    <xdr:sp macro="" textlink="">
      <xdr:nvSpPr>
        <xdr:cNvPr id="9" name="Rectangle 8">
          <a:extLst>
            <a:ext uri="{FF2B5EF4-FFF2-40B4-BE49-F238E27FC236}">
              <a16:creationId xmlns:a16="http://schemas.microsoft.com/office/drawing/2014/main" id="{BB2BE422-D877-4177-A942-784C5E7937DA}"/>
            </a:ext>
          </a:extLst>
        </xdr:cNvPr>
        <xdr:cNvSpPr/>
      </xdr:nvSpPr>
      <xdr:spPr>
        <a:xfrm>
          <a:off x="10648949" y="428624"/>
          <a:ext cx="4040982" cy="7024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404812</xdr:colOff>
      <xdr:row>19</xdr:row>
      <xdr:rowOff>11906</xdr:rowOff>
    </xdr:from>
    <xdr:to>
      <xdr:col>17</xdr:col>
      <xdr:colOff>176211</xdr:colOff>
      <xdr:row>30</xdr:row>
      <xdr:rowOff>107156</xdr:rowOff>
    </xdr:to>
    <xdr:sp macro="" textlink="">
      <xdr:nvSpPr>
        <xdr:cNvPr id="10" name="Rectangle 9">
          <a:extLst>
            <a:ext uri="{FF2B5EF4-FFF2-40B4-BE49-F238E27FC236}">
              <a16:creationId xmlns:a16="http://schemas.microsoft.com/office/drawing/2014/main" id="{8CA21178-8BE0-4851-8BD4-A769C09E21A8}"/>
            </a:ext>
          </a:extLst>
        </xdr:cNvPr>
        <xdr:cNvSpPr/>
      </xdr:nvSpPr>
      <xdr:spPr>
        <a:xfrm>
          <a:off x="6500812" y="3631406"/>
          <a:ext cx="4038599" cy="21907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292894</xdr:colOff>
      <xdr:row>19</xdr:row>
      <xdr:rowOff>9524</xdr:rowOff>
    </xdr:from>
    <xdr:to>
      <xdr:col>10</xdr:col>
      <xdr:colOff>273842</xdr:colOff>
      <xdr:row>30</xdr:row>
      <xdr:rowOff>83343</xdr:rowOff>
    </xdr:to>
    <xdr:sp macro="" textlink="">
      <xdr:nvSpPr>
        <xdr:cNvPr id="11" name="Rectangle 10">
          <a:extLst>
            <a:ext uri="{FF2B5EF4-FFF2-40B4-BE49-F238E27FC236}">
              <a16:creationId xmlns:a16="http://schemas.microsoft.com/office/drawing/2014/main" id="{1AF4BCD7-D284-43B2-90F9-D91E59070C84}"/>
            </a:ext>
          </a:extLst>
        </xdr:cNvPr>
        <xdr:cNvSpPr/>
      </xdr:nvSpPr>
      <xdr:spPr>
        <a:xfrm>
          <a:off x="902494" y="3629024"/>
          <a:ext cx="5467348" cy="216931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317500</xdr:colOff>
      <xdr:row>7</xdr:row>
      <xdr:rowOff>95251</xdr:rowOff>
    </xdr:from>
    <xdr:to>
      <xdr:col>4</xdr:col>
      <xdr:colOff>523875</xdr:colOff>
      <xdr:row>9</xdr:row>
      <xdr:rowOff>1</xdr:rowOff>
    </xdr:to>
    <xdr:sp macro="" textlink="">
      <xdr:nvSpPr>
        <xdr:cNvPr id="12" name="TextBox 11">
          <a:extLst>
            <a:ext uri="{FF2B5EF4-FFF2-40B4-BE49-F238E27FC236}">
              <a16:creationId xmlns:a16="http://schemas.microsoft.com/office/drawing/2014/main" id="{6CB9527F-D17D-85B5-0F02-BEAE29EA3049}"/>
            </a:ext>
          </a:extLst>
        </xdr:cNvPr>
        <xdr:cNvSpPr txBox="1"/>
      </xdr:nvSpPr>
      <xdr:spPr>
        <a:xfrm>
          <a:off x="920750" y="1428751"/>
          <a:ext cx="2016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tx1"/>
              </a:solidFill>
              <a:effectLst/>
              <a:latin typeface="+mn-lt"/>
              <a:ea typeface="+mn-ea"/>
              <a:cs typeface="+mn-cs"/>
            </a:rPr>
            <a:t>Revenue</a:t>
          </a:r>
          <a:r>
            <a:rPr lang="en-US">
              <a:solidFill>
                <a:schemeClr val="tx1"/>
              </a:solidFill>
              <a:effectLst/>
            </a:rPr>
            <a:t> </a:t>
          </a:r>
          <a:endParaRPr lang="en-US" sz="1100">
            <a:solidFill>
              <a:schemeClr val="tx1"/>
            </a:solidFill>
          </a:endParaRPr>
        </a:p>
      </xdr:txBody>
    </xdr:sp>
    <xdr:clientData/>
  </xdr:twoCellAnchor>
  <xdr:twoCellAnchor>
    <xdr:from>
      <xdr:col>1</xdr:col>
      <xdr:colOff>254000</xdr:colOff>
      <xdr:row>9</xdr:row>
      <xdr:rowOff>31750</xdr:rowOff>
    </xdr:from>
    <xdr:to>
      <xdr:col>3</xdr:col>
      <xdr:colOff>555625</xdr:colOff>
      <xdr:row>11</xdr:row>
      <xdr:rowOff>158750</xdr:rowOff>
    </xdr:to>
    <xdr:sp macro="" textlink="">
      <xdr:nvSpPr>
        <xdr:cNvPr id="13" name="TextBox 12">
          <a:extLst>
            <a:ext uri="{FF2B5EF4-FFF2-40B4-BE49-F238E27FC236}">
              <a16:creationId xmlns:a16="http://schemas.microsoft.com/office/drawing/2014/main" id="{85326AD8-35C7-0B55-36F2-75AED6E22EB4}"/>
            </a:ext>
          </a:extLst>
        </xdr:cNvPr>
        <xdr:cNvSpPr txBox="1"/>
      </xdr:nvSpPr>
      <xdr:spPr>
        <a:xfrm>
          <a:off x="857250" y="1746250"/>
          <a:ext cx="15081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2">
                  <a:lumMod val="75000"/>
                </a:schemeClr>
              </a:solidFill>
              <a:effectLst/>
              <a:latin typeface="+mn-lt"/>
              <a:ea typeface="+mn-ea"/>
              <a:cs typeface="+mn-cs"/>
            </a:rPr>
            <a:t> ₦  3,079,935 </a:t>
          </a:r>
          <a:endParaRPr lang="en-US" sz="1600" b="1">
            <a:solidFill>
              <a:schemeClr val="tx2">
                <a:lumMod val="75000"/>
              </a:schemeClr>
            </a:solidFill>
          </a:endParaRPr>
        </a:p>
      </xdr:txBody>
    </xdr:sp>
    <xdr:clientData/>
  </xdr:twoCellAnchor>
  <xdr:twoCellAnchor>
    <xdr:from>
      <xdr:col>1</xdr:col>
      <xdr:colOff>263525</xdr:colOff>
      <xdr:row>2</xdr:row>
      <xdr:rowOff>127000</xdr:rowOff>
    </xdr:from>
    <xdr:to>
      <xdr:col>13</xdr:col>
      <xdr:colOff>79375</xdr:colOff>
      <xdr:row>5</xdr:row>
      <xdr:rowOff>63500</xdr:rowOff>
    </xdr:to>
    <xdr:sp macro="" textlink="">
      <xdr:nvSpPr>
        <xdr:cNvPr id="14" name="TextBox 13">
          <a:extLst>
            <a:ext uri="{FF2B5EF4-FFF2-40B4-BE49-F238E27FC236}">
              <a16:creationId xmlns:a16="http://schemas.microsoft.com/office/drawing/2014/main" id="{B5B5D26E-9EB6-EE61-FD40-F85C82349647}"/>
            </a:ext>
          </a:extLst>
        </xdr:cNvPr>
        <xdr:cNvSpPr txBox="1"/>
      </xdr:nvSpPr>
      <xdr:spPr>
        <a:xfrm>
          <a:off x="866775" y="508000"/>
          <a:ext cx="705485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u="none" strike="noStrike">
              <a:solidFill>
                <a:schemeClr val="tx2">
                  <a:lumMod val="75000"/>
                </a:schemeClr>
              </a:solidFill>
              <a:effectLst/>
              <a:latin typeface="+mn-lt"/>
              <a:ea typeface="+mn-ea"/>
              <a:cs typeface="+mn-cs"/>
            </a:rPr>
            <a:t> Easyshopping</a:t>
          </a:r>
          <a:r>
            <a:rPr lang="en-US" sz="2800" b="1" i="0" u="none" strike="noStrike" baseline="0">
              <a:solidFill>
                <a:schemeClr val="tx2">
                  <a:lumMod val="75000"/>
                </a:schemeClr>
              </a:solidFill>
              <a:effectLst/>
              <a:latin typeface="+mn-lt"/>
              <a:ea typeface="+mn-ea"/>
              <a:cs typeface="+mn-cs"/>
            </a:rPr>
            <a:t> </a:t>
          </a:r>
          <a:r>
            <a:rPr lang="en-US" sz="2800" b="1" i="0" u="none" strike="noStrike">
              <a:solidFill>
                <a:schemeClr val="tx2">
                  <a:lumMod val="75000"/>
                </a:schemeClr>
              </a:solidFill>
              <a:effectLst/>
              <a:latin typeface="+mn-lt"/>
              <a:ea typeface="+mn-ea"/>
              <a:cs typeface="+mn-cs"/>
            </a:rPr>
            <a:t>Sales</a:t>
          </a:r>
          <a:r>
            <a:rPr lang="en-US" sz="2800" b="1" i="0" u="none" strike="noStrike" baseline="0">
              <a:solidFill>
                <a:schemeClr val="tx2">
                  <a:lumMod val="75000"/>
                </a:schemeClr>
              </a:solidFill>
              <a:effectLst/>
              <a:latin typeface="+mn-lt"/>
              <a:ea typeface="+mn-ea"/>
              <a:cs typeface="+mn-cs"/>
            </a:rPr>
            <a:t> Performance Dashboard</a:t>
          </a:r>
          <a:endParaRPr lang="en-US" sz="2800" b="1">
            <a:solidFill>
              <a:schemeClr val="tx2">
                <a:lumMod val="75000"/>
              </a:schemeClr>
            </a:solidFill>
          </a:endParaRPr>
        </a:p>
      </xdr:txBody>
    </xdr:sp>
    <xdr:clientData/>
  </xdr:twoCellAnchor>
  <xdr:twoCellAnchor>
    <xdr:from>
      <xdr:col>6</xdr:col>
      <xdr:colOff>57150</xdr:colOff>
      <xdr:row>7</xdr:row>
      <xdr:rowOff>120651</xdr:rowOff>
    </xdr:from>
    <xdr:to>
      <xdr:col>9</xdr:col>
      <xdr:colOff>263525</xdr:colOff>
      <xdr:row>9</xdr:row>
      <xdr:rowOff>25401</xdr:rowOff>
    </xdr:to>
    <xdr:sp macro="" textlink="">
      <xdr:nvSpPr>
        <xdr:cNvPr id="15" name="TextBox 14">
          <a:extLst>
            <a:ext uri="{FF2B5EF4-FFF2-40B4-BE49-F238E27FC236}">
              <a16:creationId xmlns:a16="http://schemas.microsoft.com/office/drawing/2014/main" id="{8372E7EA-7255-94B8-281B-869A633AB707}"/>
            </a:ext>
          </a:extLst>
        </xdr:cNvPr>
        <xdr:cNvSpPr txBox="1"/>
      </xdr:nvSpPr>
      <xdr:spPr>
        <a:xfrm>
          <a:off x="3676650" y="1454151"/>
          <a:ext cx="2016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tx1"/>
              </a:solidFill>
              <a:effectLst/>
              <a:latin typeface="+mn-lt"/>
              <a:ea typeface="+mn-ea"/>
              <a:cs typeface="+mn-cs"/>
            </a:rPr>
            <a:t>Profit</a:t>
          </a:r>
          <a:r>
            <a:rPr lang="en-US" sz="1100" b="0" i="0" u="none" strike="noStrike" baseline="0">
              <a:solidFill>
                <a:schemeClr val="tx1"/>
              </a:solidFill>
              <a:effectLst/>
              <a:latin typeface="+mn-lt"/>
              <a:ea typeface="+mn-ea"/>
              <a:cs typeface="+mn-cs"/>
            </a:rPr>
            <a:t> Margin</a:t>
          </a:r>
          <a:endParaRPr lang="en-US" sz="1100">
            <a:solidFill>
              <a:schemeClr val="tx1"/>
            </a:solidFill>
          </a:endParaRPr>
        </a:p>
      </xdr:txBody>
    </xdr:sp>
    <xdr:clientData/>
  </xdr:twoCellAnchor>
  <xdr:twoCellAnchor>
    <xdr:from>
      <xdr:col>6</xdr:col>
      <xdr:colOff>57150</xdr:colOff>
      <xdr:row>9</xdr:row>
      <xdr:rowOff>41275</xdr:rowOff>
    </xdr:from>
    <xdr:to>
      <xdr:col>8</xdr:col>
      <xdr:colOff>358775</xdr:colOff>
      <xdr:row>11</xdr:row>
      <xdr:rowOff>168275</xdr:rowOff>
    </xdr:to>
    <xdr:sp macro="" textlink="">
      <xdr:nvSpPr>
        <xdr:cNvPr id="16" name="TextBox 15">
          <a:extLst>
            <a:ext uri="{FF2B5EF4-FFF2-40B4-BE49-F238E27FC236}">
              <a16:creationId xmlns:a16="http://schemas.microsoft.com/office/drawing/2014/main" id="{254A55A7-045E-3910-8B98-CF09859E78BD}"/>
            </a:ext>
          </a:extLst>
        </xdr:cNvPr>
        <xdr:cNvSpPr txBox="1"/>
      </xdr:nvSpPr>
      <xdr:spPr>
        <a:xfrm>
          <a:off x="3676650" y="1755775"/>
          <a:ext cx="15081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2">
                  <a:lumMod val="75000"/>
                </a:schemeClr>
              </a:solidFill>
              <a:effectLst/>
              <a:latin typeface="+mn-lt"/>
              <a:ea typeface="+mn-ea"/>
              <a:cs typeface="+mn-cs"/>
            </a:rPr>
            <a:t>14%</a:t>
          </a:r>
          <a:r>
            <a:rPr lang="en-US" sz="1600" b="1">
              <a:solidFill>
                <a:schemeClr val="tx2">
                  <a:lumMod val="75000"/>
                </a:schemeClr>
              </a:solidFill>
              <a:effectLst/>
            </a:rPr>
            <a:t> </a:t>
          </a:r>
          <a:endParaRPr lang="en-US" sz="1600" b="1">
            <a:solidFill>
              <a:schemeClr val="tx2">
                <a:lumMod val="75000"/>
              </a:schemeClr>
            </a:solidFill>
          </a:endParaRPr>
        </a:p>
      </xdr:txBody>
    </xdr:sp>
    <xdr:clientData/>
  </xdr:twoCellAnchor>
  <xdr:twoCellAnchor>
    <xdr:from>
      <xdr:col>1</xdr:col>
      <xdr:colOff>336550</xdr:colOff>
      <xdr:row>13</xdr:row>
      <xdr:rowOff>161926</xdr:rowOff>
    </xdr:from>
    <xdr:to>
      <xdr:col>4</xdr:col>
      <xdr:colOff>542925</xdr:colOff>
      <xdr:row>15</xdr:row>
      <xdr:rowOff>66676</xdr:rowOff>
    </xdr:to>
    <xdr:sp macro="" textlink="">
      <xdr:nvSpPr>
        <xdr:cNvPr id="17" name="TextBox 16">
          <a:extLst>
            <a:ext uri="{FF2B5EF4-FFF2-40B4-BE49-F238E27FC236}">
              <a16:creationId xmlns:a16="http://schemas.microsoft.com/office/drawing/2014/main" id="{AB5F5EF5-C422-3E88-4F6E-520DD92EF55B}"/>
            </a:ext>
          </a:extLst>
        </xdr:cNvPr>
        <xdr:cNvSpPr txBox="1"/>
      </xdr:nvSpPr>
      <xdr:spPr>
        <a:xfrm>
          <a:off x="939800" y="2638426"/>
          <a:ext cx="2016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tx1"/>
              </a:solidFill>
              <a:effectLst/>
              <a:latin typeface="+mn-lt"/>
              <a:ea typeface="+mn-ea"/>
              <a:cs typeface="+mn-cs"/>
            </a:rPr>
            <a:t>COGS</a:t>
          </a:r>
          <a:endParaRPr lang="en-US" sz="1100">
            <a:solidFill>
              <a:schemeClr val="tx1"/>
            </a:solidFill>
          </a:endParaRPr>
        </a:p>
      </xdr:txBody>
    </xdr:sp>
    <xdr:clientData/>
  </xdr:twoCellAnchor>
  <xdr:twoCellAnchor>
    <xdr:from>
      <xdr:col>1</xdr:col>
      <xdr:colOff>247650</xdr:colOff>
      <xdr:row>15</xdr:row>
      <xdr:rowOff>104775</xdr:rowOff>
    </xdr:from>
    <xdr:to>
      <xdr:col>3</xdr:col>
      <xdr:colOff>549275</xdr:colOff>
      <xdr:row>18</xdr:row>
      <xdr:rowOff>41275</xdr:rowOff>
    </xdr:to>
    <xdr:sp macro="" textlink="">
      <xdr:nvSpPr>
        <xdr:cNvPr id="18" name="TextBox 17">
          <a:extLst>
            <a:ext uri="{FF2B5EF4-FFF2-40B4-BE49-F238E27FC236}">
              <a16:creationId xmlns:a16="http://schemas.microsoft.com/office/drawing/2014/main" id="{D8484FD8-D81B-7E55-4863-47EC8A0F60AB}"/>
            </a:ext>
          </a:extLst>
        </xdr:cNvPr>
        <xdr:cNvSpPr txBox="1"/>
      </xdr:nvSpPr>
      <xdr:spPr>
        <a:xfrm>
          <a:off x="850900" y="2962275"/>
          <a:ext cx="15081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2">
                  <a:lumMod val="75000"/>
                </a:schemeClr>
              </a:solidFill>
              <a:effectLst/>
              <a:latin typeface="+mn-lt"/>
              <a:ea typeface="+mn-ea"/>
              <a:cs typeface="+mn-cs"/>
            </a:rPr>
            <a:t>  ₦</a:t>
          </a:r>
          <a:r>
            <a:rPr lang="en-US" sz="1600" b="1" i="0" u="none" strike="noStrike" baseline="0">
              <a:solidFill>
                <a:schemeClr val="tx2">
                  <a:lumMod val="75000"/>
                </a:schemeClr>
              </a:solidFill>
              <a:effectLst/>
              <a:latin typeface="+mn-lt"/>
              <a:ea typeface="+mn-ea"/>
              <a:cs typeface="+mn-cs"/>
            </a:rPr>
            <a:t> </a:t>
          </a:r>
          <a:r>
            <a:rPr lang="en-US" sz="1600" b="1" i="0" u="none" strike="noStrike">
              <a:solidFill>
                <a:schemeClr val="tx2">
                  <a:lumMod val="75000"/>
                </a:schemeClr>
              </a:solidFill>
              <a:effectLst/>
              <a:latin typeface="+mn-lt"/>
              <a:ea typeface="+mn-ea"/>
              <a:cs typeface="+mn-cs"/>
            </a:rPr>
            <a:t> 2,645,400 </a:t>
          </a:r>
          <a:endParaRPr lang="en-US" sz="1600" b="1">
            <a:solidFill>
              <a:schemeClr val="tx2">
                <a:lumMod val="75000"/>
              </a:schemeClr>
            </a:solidFill>
          </a:endParaRPr>
        </a:p>
      </xdr:txBody>
    </xdr:sp>
    <xdr:clientData/>
  </xdr:twoCellAnchor>
  <xdr:twoCellAnchor>
    <xdr:from>
      <xdr:col>6</xdr:col>
      <xdr:colOff>98425</xdr:colOff>
      <xdr:row>13</xdr:row>
      <xdr:rowOff>161926</xdr:rowOff>
    </xdr:from>
    <xdr:to>
      <xdr:col>9</xdr:col>
      <xdr:colOff>304800</xdr:colOff>
      <xdr:row>15</xdr:row>
      <xdr:rowOff>66676</xdr:rowOff>
    </xdr:to>
    <xdr:sp macro="" textlink="">
      <xdr:nvSpPr>
        <xdr:cNvPr id="19" name="TextBox 18">
          <a:extLst>
            <a:ext uri="{FF2B5EF4-FFF2-40B4-BE49-F238E27FC236}">
              <a16:creationId xmlns:a16="http://schemas.microsoft.com/office/drawing/2014/main" id="{75CD3654-A74C-E405-911E-E1598C816DD8}"/>
            </a:ext>
          </a:extLst>
        </xdr:cNvPr>
        <xdr:cNvSpPr txBox="1"/>
      </xdr:nvSpPr>
      <xdr:spPr>
        <a:xfrm>
          <a:off x="3717925" y="2638426"/>
          <a:ext cx="2016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tx1"/>
              </a:solidFill>
              <a:effectLst/>
              <a:latin typeface="+mn-lt"/>
              <a:ea typeface="+mn-ea"/>
              <a:cs typeface="+mn-cs"/>
            </a:rPr>
            <a:t>Transactions</a:t>
          </a:r>
          <a:endParaRPr lang="en-US" sz="1100">
            <a:solidFill>
              <a:schemeClr val="tx1"/>
            </a:solidFill>
          </a:endParaRPr>
        </a:p>
      </xdr:txBody>
    </xdr:sp>
    <xdr:clientData/>
  </xdr:twoCellAnchor>
  <xdr:twoCellAnchor>
    <xdr:from>
      <xdr:col>6</xdr:col>
      <xdr:colOff>3175</xdr:colOff>
      <xdr:row>15</xdr:row>
      <xdr:rowOff>98425</xdr:rowOff>
    </xdr:from>
    <xdr:to>
      <xdr:col>8</xdr:col>
      <xdr:colOff>304800</xdr:colOff>
      <xdr:row>18</xdr:row>
      <xdr:rowOff>34925</xdr:rowOff>
    </xdr:to>
    <xdr:sp macro="" textlink="">
      <xdr:nvSpPr>
        <xdr:cNvPr id="20" name="TextBox 19">
          <a:extLst>
            <a:ext uri="{FF2B5EF4-FFF2-40B4-BE49-F238E27FC236}">
              <a16:creationId xmlns:a16="http://schemas.microsoft.com/office/drawing/2014/main" id="{00BC9DCC-FBB8-7112-B2F9-015AC4C83374}"/>
            </a:ext>
          </a:extLst>
        </xdr:cNvPr>
        <xdr:cNvSpPr txBox="1"/>
      </xdr:nvSpPr>
      <xdr:spPr>
        <a:xfrm>
          <a:off x="3622675" y="2955925"/>
          <a:ext cx="15081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tx2">
                  <a:lumMod val="75000"/>
                </a:schemeClr>
              </a:solidFill>
              <a:effectLst/>
              <a:latin typeface="+mn-lt"/>
              <a:ea typeface="+mn-ea"/>
              <a:cs typeface="+mn-cs"/>
            </a:rPr>
            <a:t>  120</a:t>
          </a:r>
          <a:r>
            <a:rPr lang="en-US" sz="1600" b="1">
              <a:solidFill>
                <a:schemeClr val="tx2">
                  <a:lumMod val="75000"/>
                </a:schemeClr>
              </a:solidFill>
              <a:effectLst/>
            </a:rPr>
            <a:t> </a:t>
          </a:r>
          <a:endParaRPr lang="en-US" sz="1600" b="1">
            <a:solidFill>
              <a:schemeClr val="tx2">
                <a:lumMod val="75000"/>
              </a:schemeClr>
            </a:solidFill>
          </a:endParaRPr>
        </a:p>
      </xdr:txBody>
    </xdr:sp>
    <xdr:clientData/>
  </xdr:twoCellAnchor>
  <xdr:twoCellAnchor>
    <xdr:from>
      <xdr:col>1</xdr:col>
      <xdr:colOff>269875</xdr:colOff>
      <xdr:row>19</xdr:row>
      <xdr:rowOff>126999</xdr:rowOff>
    </xdr:from>
    <xdr:to>
      <xdr:col>10</xdr:col>
      <xdr:colOff>174625</xdr:colOff>
      <xdr:row>30</xdr:row>
      <xdr:rowOff>47624</xdr:rowOff>
    </xdr:to>
    <xdr:graphicFrame macro="">
      <xdr:nvGraphicFramePr>
        <xdr:cNvPr id="22" name="Chart 21">
          <a:extLst>
            <a:ext uri="{FF2B5EF4-FFF2-40B4-BE49-F238E27FC236}">
              <a16:creationId xmlns:a16="http://schemas.microsoft.com/office/drawing/2014/main" id="{AF12FBB5-7642-4748-B9DD-D58856580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454025</xdr:colOff>
      <xdr:row>18</xdr:row>
      <xdr:rowOff>126999</xdr:rowOff>
    </xdr:from>
    <xdr:to>
      <xdr:col>17</xdr:col>
      <xdr:colOff>269875</xdr:colOff>
      <xdr:row>30</xdr:row>
      <xdr:rowOff>47624</xdr:rowOff>
    </xdr:to>
    <xdr:graphicFrame macro="">
      <xdr:nvGraphicFramePr>
        <xdr:cNvPr id="24" name="Chart 23">
          <a:extLst>
            <a:ext uri="{FF2B5EF4-FFF2-40B4-BE49-F238E27FC236}">
              <a16:creationId xmlns:a16="http://schemas.microsoft.com/office/drawing/2014/main" id="{6B24FA2A-FF49-3D7C-9583-6A87475EE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476250</xdr:colOff>
      <xdr:row>6</xdr:row>
      <xdr:rowOff>142875</xdr:rowOff>
    </xdr:from>
    <xdr:to>
      <xdr:col>17</xdr:col>
      <xdr:colOff>47625</xdr:colOff>
      <xdr:row>18</xdr:row>
      <xdr:rowOff>63500</xdr:rowOff>
    </xdr:to>
    <xdr:graphicFrame macro="">
      <xdr:nvGraphicFramePr>
        <xdr:cNvPr id="26" name="Chart 25">
          <a:extLst>
            <a:ext uri="{FF2B5EF4-FFF2-40B4-BE49-F238E27FC236}">
              <a16:creationId xmlns:a16="http://schemas.microsoft.com/office/drawing/2014/main" id="{22940394-29EB-431D-A3E1-875966C5B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396875</xdr:colOff>
      <xdr:row>11</xdr:row>
      <xdr:rowOff>142875</xdr:rowOff>
    </xdr:from>
    <xdr:to>
      <xdr:col>15</xdr:col>
      <xdr:colOff>222250</xdr:colOff>
      <xdr:row>13</xdr:row>
      <xdr:rowOff>28575</xdr:rowOff>
    </xdr:to>
    <xdr:sp macro="" textlink="">
      <xdr:nvSpPr>
        <xdr:cNvPr id="27" name="TextBox 26">
          <a:extLst>
            <a:ext uri="{FF2B5EF4-FFF2-40B4-BE49-F238E27FC236}">
              <a16:creationId xmlns:a16="http://schemas.microsoft.com/office/drawing/2014/main" id="{A59CB343-00FB-43D2-B978-916DAF47F3D2}"/>
            </a:ext>
          </a:extLst>
        </xdr:cNvPr>
        <xdr:cNvSpPr txBox="1"/>
      </xdr:nvSpPr>
      <xdr:spPr>
        <a:xfrm>
          <a:off x="8842375" y="2238375"/>
          <a:ext cx="428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tx1"/>
              </a:solidFill>
              <a:effectLst/>
              <a:latin typeface="+mn-lt"/>
              <a:ea typeface="+mn-ea"/>
              <a:cs typeface="+mn-cs"/>
            </a:rPr>
            <a:t>47%</a:t>
          </a:r>
          <a:r>
            <a:rPr lang="en-US">
              <a:solidFill>
                <a:schemeClr val="tx1"/>
              </a:solidFill>
              <a:effectLst/>
            </a:rPr>
            <a:t> </a:t>
          </a:r>
          <a:endParaRPr lang="en-US" sz="1100">
            <a:solidFill>
              <a:schemeClr val="tx1"/>
            </a:solidFill>
          </a:endParaRPr>
        </a:p>
      </xdr:txBody>
    </xdr:sp>
    <xdr:clientData/>
  </xdr:twoCellAnchor>
  <xdr:twoCellAnchor>
    <xdr:from>
      <xdr:col>11</xdr:col>
      <xdr:colOff>517525</xdr:colOff>
      <xdr:row>16</xdr:row>
      <xdr:rowOff>120650</xdr:rowOff>
    </xdr:from>
    <xdr:to>
      <xdr:col>12</xdr:col>
      <xdr:colOff>342900</xdr:colOff>
      <xdr:row>18</xdr:row>
      <xdr:rowOff>6350</xdr:rowOff>
    </xdr:to>
    <xdr:sp macro="" textlink="">
      <xdr:nvSpPr>
        <xdr:cNvPr id="28" name="TextBox 27">
          <a:extLst>
            <a:ext uri="{FF2B5EF4-FFF2-40B4-BE49-F238E27FC236}">
              <a16:creationId xmlns:a16="http://schemas.microsoft.com/office/drawing/2014/main" id="{18E5E74C-6433-672E-A017-DA09FF67458C}"/>
            </a:ext>
          </a:extLst>
        </xdr:cNvPr>
        <xdr:cNvSpPr txBox="1"/>
      </xdr:nvSpPr>
      <xdr:spPr>
        <a:xfrm>
          <a:off x="7153275" y="3168650"/>
          <a:ext cx="428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22%</a:t>
          </a:r>
          <a:r>
            <a:rPr lang="en-US">
              <a:effectLst/>
            </a:rPr>
            <a:t> </a:t>
          </a:r>
          <a:endParaRPr lang="en-US" sz="1100">
            <a:solidFill>
              <a:schemeClr val="tx1"/>
            </a:solidFill>
          </a:endParaRPr>
        </a:p>
      </xdr:txBody>
    </xdr:sp>
    <xdr:clientData/>
  </xdr:twoCellAnchor>
  <xdr:twoCellAnchor>
    <xdr:from>
      <xdr:col>11</xdr:col>
      <xdr:colOff>146050</xdr:colOff>
      <xdr:row>12</xdr:row>
      <xdr:rowOff>98425</xdr:rowOff>
    </xdr:from>
    <xdr:to>
      <xdr:col>11</xdr:col>
      <xdr:colOff>574675</xdr:colOff>
      <xdr:row>13</xdr:row>
      <xdr:rowOff>174625</xdr:rowOff>
    </xdr:to>
    <xdr:sp macro="" textlink="">
      <xdr:nvSpPr>
        <xdr:cNvPr id="29" name="TextBox 28">
          <a:extLst>
            <a:ext uri="{FF2B5EF4-FFF2-40B4-BE49-F238E27FC236}">
              <a16:creationId xmlns:a16="http://schemas.microsoft.com/office/drawing/2014/main" id="{438C9167-4197-EF78-FF70-B180ABD5C2F8}"/>
            </a:ext>
          </a:extLst>
        </xdr:cNvPr>
        <xdr:cNvSpPr txBox="1"/>
      </xdr:nvSpPr>
      <xdr:spPr>
        <a:xfrm>
          <a:off x="6781800" y="2384425"/>
          <a:ext cx="428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16%</a:t>
          </a:r>
          <a:r>
            <a:rPr lang="en-US">
              <a:effectLst/>
            </a:rPr>
            <a:t> </a:t>
          </a:r>
          <a:endParaRPr lang="en-US" sz="1100">
            <a:solidFill>
              <a:schemeClr val="tx1"/>
            </a:solidFill>
          </a:endParaRPr>
        </a:p>
      </xdr:txBody>
    </xdr:sp>
    <xdr:clientData/>
  </xdr:twoCellAnchor>
  <xdr:twoCellAnchor>
    <xdr:from>
      <xdr:col>11</xdr:col>
      <xdr:colOff>536575</xdr:colOff>
      <xdr:row>8</xdr:row>
      <xdr:rowOff>107950</xdr:rowOff>
    </xdr:from>
    <xdr:to>
      <xdr:col>12</xdr:col>
      <xdr:colOff>361950</xdr:colOff>
      <xdr:row>9</xdr:row>
      <xdr:rowOff>184150</xdr:rowOff>
    </xdr:to>
    <xdr:sp macro="" textlink="">
      <xdr:nvSpPr>
        <xdr:cNvPr id="30" name="TextBox 29">
          <a:extLst>
            <a:ext uri="{FF2B5EF4-FFF2-40B4-BE49-F238E27FC236}">
              <a16:creationId xmlns:a16="http://schemas.microsoft.com/office/drawing/2014/main" id="{DB191057-8167-A004-FD7E-0415BBD0CB83}"/>
            </a:ext>
          </a:extLst>
        </xdr:cNvPr>
        <xdr:cNvSpPr txBox="1"/>
      </xdr:nvSpPr>
      <xdr:spPr>
        <a:xfrm>
          <a:off x="7172325" y="1631950"/>
          <a:ext cx="428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14%</a:t>
          </a:r>
          <a:r>
            <a:rPr lang="en-US">
              <a:effectLst/>
            </a:rPr>
            <a:t> </a:t>
          </a:r>
          <a:endParaRPr lang="en-US" sz="1100">
            <a:solidFill>
              <a:schemeClr val="tx1"/>
            </a:solidFill>
          </a:endParaRPr>
        </a:p>
      </xdr:txBody>
    </xdr:sp>
    <xdr:clientData/>
  </xdr:twoCellAnchor>
  <xdr:twoCellAnchor>
    <xdr:from>
      <xdr:col>17</xdr:col>
      <xdr:colOff>333375</xdr:colOff>
      <xdr:row>14</xdr:row>
      <xdr:rowOff>63501</xdr:rowOff>
    </xdr:from>
    <xdr:to>
      <xdr:col>24</xdr:col>
      <xdr:colOff>63500</xdr:colOff>
      <xdr:row>30</xdr:row>
      <xdr:rowOff>31751</xdr:rowOff>
    </xdr:to>
    <xdr:graphicFrame macro="">
      <xdr:nvGraphicFramePr>
        <xdr:cNvPr id="31" name="Chart 30">
          <a:extLst>
            <a:ext uri="{FF2B5EF4-FFF2-40B4-BE49-F238E27FC236}">
              <a16:creationId xmlns:a16="http://schemas.microsoft.com/office/drawing/2014/main" id="{DC9D0903-98AF-4101-8780-1CC574DCE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571499</xdr:colOff>
      <xdr:row>8</xdr:row>
      <xdr:rowOff>63500</xdr:rowOff>
    </xdr:from>
    <xdr:to>
      <xdr:col>23</xdr:col>
      <xdr:colOff>492124</xdr:colOff>
      <xdr:row>13</xdr:row>
      <xdr:rowOff>63499</xdr:rowOff>
    </xdr:to>
    <mc:AlternateContent xmlns:mc="http://schemas.openxmlformats.org/markup-compatibility/2006" xmlns:a14="http://schemas.microsoft.com/office/drawing/2010/main">
      <mc:Choice Requires="a14">
        <xdr:graphicFrame macro="">
          <xdr:nvGraphicFramePr>
            <xdr:cNvPr id="32" name="Month 1">
              <a:extLst>
                <a:ext uri="{FF2B5EF4-FFF2-40B4-BE49-F238E27FC236}">
                  <a16:creationId xmlns:a16="http://schemas.microsoft.com/office/drawing/2014/main" id="{FC6EFFF4-3A92-4000-A779-DCCEDA3439E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980963" y="1587500"/>
              <a:ext cx="3594554"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349250</xdr:colOff>
      <xdr:row>2</xdr:row>
      <xdr:rowOff>95251</xdr:rowOff>
    </xdr:from>
    <xdr:to>
      <xdr:col>23</xdr:col>
      <xdr:colOff>555624</xdr:colOff>
      <xdr:row>5</xdr:row>
      <xdr:rowOff>111125</xdr:rowOff>
    </xdr:to>
    <mc:AlternateContent xmlns:mc="http://schemas.openxmlformats.org/markup-compatibility/2006" xmlns:a14="http://schemas.microsoft.com/office/drawing/2010/main">
      <mc:Choice Requires="a14">
        <xdr:graphicFrame macro="">
          <xdr:nvGraphicFramePr>
            <xdr:cNvPr id="33" name="City 1">
              <a:extLst>
                <a:ext uri="{FF2B5EF4-FFF2-40B4-BE49-F238E27FC236}">
                  <a16:creationId xmlns:a16="http://schemas.microsoft.com/office/drawing/2014/main" id="{B1073BE9-CF73-4E44-8FBF-1BB55A1161A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758714" y="476251"/>
              <a:ext cx="3880303" cy="587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136526</xdr:colOff>
      <xdr:row>13</xdr:row>
      <xdr:rowOff>136524</xdr:rowOff>
    </xdr:from>
    <xdr:to>
      <xdr:col>1</xdr:col>
      <xdr:colOff>174626</xdr:colOff>
      <xdr:row>17</xdr:row>
      <xdr:rowOff>15874</xdr:rowOff>
    </xdr:to>
    <xdr:pic>
      <xdr:nvPicPr>
        <xdr:cNvPr id="35" name="Graphic 34" descr="Bar graph with downward trend with solid fill">
          <a:extLst>
            <a:ext uri="{FF2B5EF4-FFF2-40B4-BE49-F238E27FC236}">
              <a16:creationId xmlns:a16="http://schemas.microsoft.com/office/drawing/2014/main" id="{5BE2B180-8199-BB83-322F-6B9A286C1A4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6526" y="2613024"/>
          <a:ext cx="641350" cy="641350"/>
        </a:xfrm>
        <a:prstGeom prst="rect">
          <a:avLst/>
        </a:prstGeom>
      </xdr:spPr>
    </xdr:pic>
    <xdr:clientData/>
  </xdr:twoCellAnchor>
  <xdr:twoCellAnchor editAs="oneCell">
    <xdr:from>
      <xdr:col>0</xdr:col>
      <xdr:colOff>118250</xdr:colOff>
      <xdr:row>18</xdr:row>
      <xdr:rowOff>38875</xdr:rowOff>
    </xdr:from>
    <xdr:to>
      <xdr:col>1</xdr:col>
      <xdr:colOff>174625</xdr:colOff>
      <xdr:row>21</xdr:row>
      <xdr:rowOff>127000</xdr:rowOff>
    </xdr:to>
    <xdr:pic>
      <xdr:nvPicPr>
        <xdr:cNvPr id="37" name="Graphic 36" descr="Database outline">
          <a:extLst>
            <a:ext uri="{FF2B5EF4-FFF2-40B4-BE49-F238E27FC236}">
              <a16:creationId xmlns:a16="http://schemas.microsoft.com/office/drawing/2014/main" id="{3B9EED91-38F6-C6D6-4EDB-2BAAA3F8AC1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250" y="3467875"/>
          <a:ext cx="659625" cy="659625"/>
        </a:xfrm>
        <a:prstGeom prst="rect">
          <a:avLst/>
        </a:prstGeom>
      </xdr:spPr>
    </xdr:pic>
    <xdr:clientData/>
  </xdr:twoCellAnchor>
  <xdr:twoCellAnchor editAs="oneCell">
    <xdr:from>
      <xdr:col>0</xdr:col>
      <xdr:colOff>174626</xdr:colOff>
      <xdr:row>9</xdr:row>
      <xdr:rowOff>32568</xdr:rowOff>
    </xdr:from>
    <xdr:to>
      <xdr:col>1</xdr:col>
      <xdr:colOff>174626</xdr:colOff>
      <xdr:row>12</xdr:row>
      <xdr:rowOff>95250</xdr:rowOff>
    </xdr:to>
    <xdr:pic>
      <xdr:nvPicPr>
        <xdr:cNvPr id="39" name="Graphic 38" descr="Presentation with pie chart with solid fill">
          <a:extLst>
            <a:ext uri="{FF2B5EF4-FFF2-40B4-BE49-F238E27FC236}">
              <a16:creationId xmlns:a16="http://schemas.microsoft.com/office/drawing/2014/main" id="{2FA26C4B-04FE-7D84-DD67-2D070C21FC5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4626" y="1747068"/>
          <a:ext cx="603250" cy="634182"/>
        </a:xfrm>
        <a:prstGeom prst="rect">
          <a:avLst/>
        </a:prstGeom>
      </xdr:spPr>
    </xdr:pic>
    <xdr:clientData/>
  </xdr:twoCellAnchor>
  <xdr:twoCellAnchor editAs="oneCell">
    <xdr:from>
      <xdr:col>0</xdr:col>
      <xdr:colOff>158750</xdr:colOff>
      <xdr:row>4</xdr:row>
      <xdr:rowOff>111125</xdr:rowOff>
    </xdr:from>
    <xdr:to>
      <xdr:col>1</xdr:col>
      <xdr:colOff>127000</xdr:colOff>
      <xdr:row>7</xdr:row>
      <xdr:rowOff>111125</xdr:rowOff>
    </xdr:to>
    <xdr:pic>
      <xdr:nvPicPr>
        <xdr:cNvPr id="41" name="Graphic 40" descr="User network with solid fill">
          <a:extLst>
            <a:ext uri="{FF2B5EF4-FFF2-40B4-BE49-F238E27FC236}">
              <a16:creationId xmlns:a16="http://schemas.microsoft.com/office/drawing/2014/main" id="{FBD308A5-3D15-1836-2F30-03C5C0AA5A6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8750" y="873125"/>
          <a:ext cx="571500" cy="571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123824</xdr:colOff>
      <xdr:row>2</xdr:row>
      <xdr:rowOff>119062</xdr:rowOff>
    </xdr:from>
    <xdr:to>
      <xdr:col>1</xdr:col>
      <xdr:colOff>154780</xdr:colOff>
      <xdr:row>30</xdr:row>
      <xdr:rowOff>107156</xdr:rowOff>
    </xdr:to>
    <xdr:sp macro="" textlink="">
      <xdr:nvSpPr>
        <xdr:cNvPr id="2" name="Rectangle 1">
          <a:extLst>
            <a:ext uri="{FF2B5EF4-FFF2-40B4-BE49-F238E27FC236}">
              <a16:creationId xmlns:a16="http://schemas.microsoft.com/office/drawing/2014/main" id="{7A0029EE-A9EE-40E9-804B-BF78BC4C4155}"/>
            </a:ext>
          </a:extLst>
        </xdr:cNvPr>
        <xdr:cNvSpPr/>
      </xdr:nvSpPr>
      <xdr:spPr>
        <a:xfrm>
          <a:off x="123824" y="500062"/>
          <a:ext cx="638175" cy="5322094"/>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261937</xdr:colOff>
      <xdr:row>6</xdr:row>
      <xdr:rowOff>123825</xdr:rowOff>
    </xdr:from>
    <xdr:to>
      <xdr:col>5</xdr:col>
      <xdr:colOff>511968</xdr:colOff>
      <xdr:row>12</xdr:row>
      <xdr:rowOff>52387</xdr:rowOff>
    </xdr:to>
    <xdr:sp macro="" textlink="">
      <xdr:nvSpPr>
        <xdr:cNvPr id="3" name="Rectangle 2">
          <a:extLst>
            <a:ext uri="{FF2B5EF4-FFF2-40B4-BE49-F238E27FC236}">
              <a16:creationId xmlns:a16="http://schemas.microsoft.com/office/drawing/2014/main" id="{79CEA124-CFE5-B627-A06C-A1A2BFBA7A9F}"/>
            </a:ext>
          </a:extLst>
        </xdr:cNvPr>
        <xdr:cNvSpPr/>
      </xdr:nvSpPr>
      <xdr:spPr>
        <a:xfrm>
          <a:off x="869156" y="1266825"/>
          <a:ext cx="2678906" cy="10715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9525</xdr:colOff>
      <xdr:row>6</xdr:row>
      <xdr:rowOff>123825</xdr:rowOff>
    </xdr:from>
    <xdr:to>
      <xdr:col>10</xdr:col>
      <xdr:colOff>259556</xdr:colOff>
      <xdr:row>12</xdr:row>
      <xdr:rowOff>52387</xdr:rowOff>
    </xdr:to>
    <xdr:sp macro="" textlink="">
      <xdr:nvSpPr>
        <xdr:cNvPr id="4" name="Rectangle 3">
          <a:extLst>
            <a:ext uri="{FF2B5EF4-FFF2-40B4-BE49-F238E27FC236}">
              <a16:creationId xmlns:a16="http://schemas.microsoft.com/office/drawing/2014/main" id="{8AD43FD9-45A8-2861-ED46-33B059E486A0}"/>
            </a:ext>
          </a:extLst>
        </xdr:cNvPr>
        <xdr:cNvSpPr/>
      </xdr:nvSpPr>
      <xdr:spPr>
        <a:xfrm>
          <a:off x="3652838" y="1266825"/>
          <a:ext cx="2678906" cy="10715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280988</xdr:colOff>
      <xdr:row>12</xdr:row>
      <xdr:rowOff>161925</xdr:rowOff>
    </xdr:from>
    <xdr:to>
      <xdr:col>5</xdr:col>
      <xdr:colOff>531019</xdr:colOff>
      <xdr:row>18</xdr:row>
      <xdr:rowOff>90487</xdr:rowOff>
    </xdr:to>
    <xdr:sp macro="" textlink="">
      <xdr:nvSpPr>
        <xdr:cNvPr id="5" name="Rectangle 4">
          <a:extLst>
            <a:ext uri="{FF2B5EF4-FFF2-40B4-BE49-F238E27FC236}">
              <a16:creationId xmlns:a16="http://schemas.microsoft.com/office/drawing/2014/main" id="{21D89471-8170-E133-0478-CA18E2514838}"/>
            </a:ext>
          </a:extLst>
        </xdr:cNvPr>
        <xdr:cNvSpPr/>
      </xdr:nvSpPr>
      <xdr:spPr>
        <a:xfrm>
          <a:off x="888207" y="2447925"/>
          <a:ext cx="2678906" cy="10715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19050</xdr:colOff>
      <xdr:row>12</xdr:row>
      <xdr:rowOff>161925</xdr:rowOff>
    </xdr:from>
    <xdr:to>
      <xdr:col>10</xdr:col>
      <xdr:colOff>269081</xdr:colOff>
      <xdr:row>18</xdr:row>
      <xdr:rowOff>90487</xdr:rowOff>
    </xdr:to>
    <xdr:sp macro="" textlink="">
      <xdr:nvSpPr>
        <xdr:cNvPr id="7" name="Rectangle 6">
          <a:extLst>
            <a:ext uri="{FF2B5EF4-FFF2-40B4-BE49-F238E27FC236}">
              <a16:creationId xmlns:a16="http://schemas.microsoft.com/office/drawing/2014/main" id="{F2D960A8-3F37-27E1-5FF8-594C178EABFD}"/>
            </a:ext>
          </a:extLst>
        </xdr:cNvPr>
        <xdr:cNvSpPr/>
      </xdr:nvSpPr>
      <xdr:spPr>
        <a:xfrm>
          <a:off x="3662363" y="2447925"/>
          <a:ext cx="2678906" cy="10715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392906</xdr:colOff>
      <xdr:row>6</xdr:row>
      <xdr:rowOff>109538</xdr:rowOff>
    </xdr:from>
    <xdr:to>
      <xdr:col>17</xdr:col>
      <xdr:colOff>178592</xdr:colOff>
      <xdr:row>18</xdr:row>
      <xdr:rowOff>83344</xdr:rowOff>
    </xdr:to>
    <xdr:sp macro="" textlink="">
      <xdr:nvSpPr>
        <xdr:cNvPr id="8" name="Rectangle 7">
          <a:extLst>
            <a:ext uri="{FF2B5EF4-FFF2-40B4-BE49-F238E27FC236}">
              <a16:creationId xmlns:a16="http://schemas.microsoft.com/office/drawing/2014/main" id="{EEDA401E-A045-ACAA-5EF4-A6B20DA1438E}"/>
            </a:ext>
          </a:extLst>
        </xdr:cNvPr>
        <xdr:cNvSpPr/>
      </xdr:nvSpPr>
      <xdr:spPr>
        <a:xfrm>
          <a:off x="6465094" y="1252538"/>
          <a:ext cx="4036217" cy="225980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295275</xdr:colOff>
      <xdr:row>6</xdr:row>
      <xdr:rowOff>83343</xdr:rowOff>
    </xdr:from>
    <xdr:to>
      <xdr:col>24</xdr:col>
      <xdr:colOff>80961</xdr:colOff>
      <xdr:row>30</xdr:row>
      <xdr:rowOff>166686</xdr:rowOff>
    </xdr:to>
    <xdr:sp macro="" textlink="">
      <xdr:nvSpPr>
        <xdr:cNvPr id="9" name="Rectangle 8">
          <a:extLst>
            <a:ext uri="{FF2B5EF4-FFF2-40B4-BE49-F238E27FC236}">
              <a16:creationId xmlns:a16="http://schemas.microsoft.com/office/drawing/2014/main" id="{65B98E23-5132-C6C0-1CDD-11096063B268}"/>
            </a:ext>
          </a:extLst>
        </xdr:cNvPr>
        <xdr:cNvSpPr/>
      </xdr:nvSpPr>
      <xdr:spPr>
        <a:xfrm>
          <a:off x="10617994" y="1226343"/>
          <a:ext cx="4036217" cy="465534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285749</xdr:colOff>
      <xdr:row>2</xdr:row>
      <xdr:rowOff>47624</xdr:rowOff>
    </xdr:from>
    <xdr:to>
      <xdr:col>24</xdr:col>
      <xdr:colOff>59531</xdr:colOff>
      <xdr:row>5</xdr:row>
      <xdr:rowOff>178591</xdr:rowOff>
    </xdr:to>
    <xdr:sp macro="" textlink="">
      <xdr:nvSpPr>
        <xdr:cNvPr id="10" name="Rectangle 9">
          <a:extLst>
            <a:ext uri="{FF2B5EF4-FFF2-40B4-BE49-F238E27FC236}">
              <a16:creationId xmlns:a16="http://schemas.microsoft.com/office/drawing/2014/main" id="{091F6836-646B-F655-BE63-E04EC7E3B5C0}"/>
            </a:ext>
          </a:extLst>
        </xdr:cNvPr>
        <xdr:cNvSpPr/>
      </xdr:nvSpPr>
      <xdr:spPr>
        <a:xfrm>
          <a:off x="10608468" y="428624"/>
          <a:ext cx="4024313" cy="7024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404812</xdr:colOff>
      <xdr:row>19</xdr:row>
      <xdr:rowOff>11906</xdr:rowOff>
    </xdr:from>
    <xdr:to>
      <xdr:col>17</xdr:col>
      <xdr:colOff>176211</xdr:colOff>
      <xdr:row>30</xdr:row>
      <xdr:rowOff>107156</xdr:rowOff>
    </xdr:to>
    <xdr:sp macro="" textlink="">
      <xdr:nvSpPr>
        <xdr:cNvPr id="11" name="Rectangle 10">
          <a:extLst>
            <a:ext uri="{FF2B5EF4-FFF2-40B4-BE49-F238E27FC236}">
              <a16:creationId xmlns:a16="http://schemas.microsoft.com/office/drawing/2014/main" id="{3EA21F66-7087-22DA-1D7A-8BA52857EB95}"/>
            </a:ext>
          </a:extLst>
        </xdr:cNvPr>
        <xdr:cNvSpPr/>
      </xdr:nvSpPr>
      <xdr:spPr>
        <a:xfrm>
          <a:off x="6477000" y="3631406"/>
          <a:ext cx="4021930" cy="21907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292894</xdr:colOff>
      <xdr:row>19</xdr:row>
      <xdr:rowOff>9524</xdr:rowOff>
    </xdr:from>
    <xdr:to>
      <xdr:col>10</xdr:col>
      <xdr:colOff>273842</xdr:colOff>
      <xdr:row>30</xdr:row>
      <xdr:rowOff>83343</xdr:rowOff>
    </xdr:to>
    <xdr:sp macro="" textlink="">
      <xdr:nvSpPr>
        <xdr:cNvPr id="12" name="Rectangle 11">
          <a:extLst>
            <a:ext uri="{FF2B5EF4-FFF2-40B4-BE49-F238E27FC236}">
              <a16:creationId xmlns:a16="http://schemas.microsoft.com/office/drawing/2014/main" id="{250FA001-8BAC-C616-946F-C6704DE851C2}"/>
            </a:ext>
          </a:extLst>
        </xdr:cNvPr>
        <xdr:cNvSpPr/>
      </xdr:nvSpPr>
      <xdr:spPr>
        <a:xfrm>
          <a:off x="900113" y="3629024"/>
          <a:ext cx="5445917" cy="216931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9524</xdr:colOff>
      <xdr:row>5</xdr:row>
      <xdr:rowOff>76200</xdr:rowOff>
    </xdr:from>
    <xdr:to>
      <xdr:col>14</xdr:col>
      <xdr:colOff>323849</xdr:colOff>
      <xdr:row>10</xdr:row>
      <xdr:rowOff>66675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368446EC-2C2C-4962-CB3D-2B743FC0A8C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005357" y="1102783"/>
              <a:ext cx="2769659"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9525</xdr:colOff>
      <xdr:row>1</xdr:row>
      <xdr:rowOff>85726</xdr:rowOff>
    </xdr:from>
    <xdr:to>
      <xdr:col>14</xdr:col>
      <xdr:colOff>276225</xdr:colOff>
      <xdr:row>4</xdr:row>
      <xdr:rowOff>180975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EF03765B-7667-9414-B83B-33FD2F3A9F0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005358" y="350309"/>
              <a:ext cx="2722034"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111125</xdr:colOff>
      <xdr:row>0</xdr:row>
      <xdr:rowOff>114301</xdr:rowOff>
    </xdr:from>
    <xdr:to>
      <xdr:col>33</xdr:col>
      <xdr:colOff>415925</xdr:colOff>
      <xdr:row>14</xdr:row>
      <xdr:rowOff>114301</xdr:rowOff>
    </xdr:to>
    <xdr:graphicFrame macro="">
      <xdr:nvGraphicFramePr>
        <xdr:cNvPr id="6" name="Chart 5">
          <a:extLst>
            <a:ext uri="{FF2B5EF4-FFF2-40B4-BE49-F238E27FC236}">
              <a16:creationId xmlns:a16="http://schemas.microsoft.com/office/drawing/2014/main" id="{464C36B8-6AA0-479E-A182-1B850DA5C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123825</xdr:colOff>
      <xdr:row>0</xdr:row>
      <xdr:rowOff>114300</xdr:rowOff>
    </xdr:from>
    <xdr:to>
      <xdr:col>25</xdr:col>
      <xdr:colOff>581025</xdr:colOff>
      <xdr:row>10</xdr:row>
      <xdr:rowOff>149225</xdr:rowOff>
    </xdr:to>
    <xdr:graphicFrame macro="">
      <xdr:nvGraphicFramePr>
        <xdr:cNvPr id="7" name="Chart 6">
          <a:extLst>
            <a:ext uri="{FF2B5EF4-FFF2-40B4-BE49-F238E27FC236}">
              <a16:creationId xmlns:a16="http://schemas.microsoft.com/office/drawing/2014/main" id="{CE82D060-9583-4E61-9F98-38659588A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219075</xdr:colOff>
      <xdr:row>11</xdr:row>
      <xdr:rowOff>133350</xdr:rowOff>
    </xdr:from>
    <xdr:to>
      <xdr:col>25</xdr:col>
      <xdr:colOff>523875</xdr:colOff>
      <xdr:row>26</xdr:row>
      <xdr:rowOff>19050</xdr:rowOff>
    </xdr:to>
    <xdr:grpSp>
      <xdr:nvGrpSpPr>
        <xdr:cNvPr id="16" name="Group 15">
          <a:extLst>
            <a:ext uri="{FF2B5EF4-FFF2-40B4-BE49-F238E27FC236}">
              <a16:creationId xmlns:a16="http://schemas.microsoft.com/office/drawing/2014/main" id="{C2501DF2-28BF-5E9B-59BC-DF8794F1F78F}"/>
            </a:ext>
          </a:extLst>
        </xdr:cNvPr>
        <xdr:cNvGrpSpPr/>
      </xdr:nvGrpSpPr>
      <xdr:grpSpPr>
        <a:xfrm>
          <a:off x="14125575" y="2302933"/>
          <a:ext cx="4601633" cy="2743200"/>
          <a:chOff x="14077950" y="2305050"/>
          <a:chExt cx="4572000" cy="2743200"/>
        </a:xfrm>
      </xdr:grpSpPr>
      <xdr:graphicFrame macro="">
        <xdr:nvGraphicFramePr>
          <xdr:cNvPr id="9" name="Chart 8">
            <a:extLst>
              <a:ext uri="{FF2B5EF4-FFF2-40B4-BE49-F238E27FC236}">
                <a16:creationId xmlns:a16="http://schemas.microsoft.com/office/drawing/2014/main" id="{0D349197-42E0-4D2F-A706-159A46A7A915}"/>
              </a:ext>
            </a:extLst>
          </xdr:cNvPr>
          <xdr:cNvGraphicFramePr>
            <a:graphicFrameLocks/>
          </xdr:cNvGraphicFramePr>
        </xdr:nvGraphicFramePr>
        <xdr:xfrm>
          <a:off x="14077950" y="2305050"/>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3" name="TextBox 12">
            <a:extLst>
              <a:ext uri="{FF2B5EF4-FFF2-40B4-BE49-F238E27FC236}">
                <a16:creationId xmlns:a16="http://schemas.microsoft.com/office/drawing/2014/main" id="{96BDD00A-9E38-E084-96D8-5B6321A8F049}"/>
              </a:ext>
            </a:extLst>
          </xdr:cNvPr>
          <xdr:cNvSpPr txBox="1"/>
        </xdr:nvSpPr>
        <xdr:spPr>
          <a:xfrm>
            <a:off x="14906624" y="4638675"/>
            <a:ext cx="428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22%</a:t>
            </a:r>
            <a:r>
              <a:rPr lang="en-US">
                <a:effectLst/>
              </a:rPr>
              <a:t> </a:t>
            </a:r>
            <a:endParaRPr lang="en-US" sz="1100"/>
          </a:p>
        </xdr:txBody>
      </xdr:sp>
      <xdr:sp macro="" textlink="">
        <xdr:nvSpPr>
          <xdr:cNvPr id="14" name="TextBox 13">
            <a:extLst>
              <a:ext uri="{FF2B5EF4-FFF2-40B4-BE49-F238E27FC236}">
                <a16:creationId xmlns:a16="http://schemas.microsoft.com/office/drawing/2014/main" id="{E47B319F-06FC-BA3E-C0D7-11516D4604CB}"/>
              </a:ext>
            </a:extLst>
          </xdr:cNvPr>
          <xdr:cNvSpPr txBox="1"/>
        </xdr:nvSpPr>
        <xdr:spPr>
          <a:xfrm>
            <a:off x="14468474" y="3629025"/>
            <a:ext cx="428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16%</a:t>
            </a:r>
            <a:r>
              <a:rPr lang="en-US">
                <a:effectLst/>
              </a:rPr>
              <a:t> </a:t>
            </a:r>
            <a:endParaRPr lang="en-US" sz="1100"/>
          </a:p>
        </xdr:txBody>
      </xdr:sp>
      <xdr:sp macro="" textlink="">
        <xdr:nvSpPr>
          <xdr:cNvPr id="15" name="TextBox 14">
            <a:extLst>
              <a:ext uri="{FF2B5EF4-FFF2-40B4-BE49-F238E27FC236}">
                <a16:creationId xmlns:a16="http://schemas.microsoft.com/office/drawing/2014/main" id="{BA636D89-7ABC-89EE-3893-E5D68E40BED9}"/>
              </a:ext>
            </a:extLst>
          </xdr:cNvPr>
          <xdr:cNvSpPr txBox="1"/>
        </xdr:nvSpPr>
        <xdr:spPr>
          <a:xfrm>
            <a:off x="15068549" y="2628900"/>
            <a:ext cx="428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14%</a:t>
            </a:r>
            <a:r>
              <a:rPr lang="en-US">
                <a:effectLst/>
              </a:rPr>
              <a:t> </a:t>
            </a:r>
            <a:endParaRPr lang="en-US" sz="1100"/>
          </a:p>
        </xdr:txBody>
      </xdr:sp>
    </xdr:grpSp>
    <xdr:clientData/>
  </xdr:twoCellAnchor>
  <xdr:twoCellAnchor>
    <xdr:from>
      <xdr:col>35</xdr:col>
      <xdr:colOff>0</xdr:colOff>
      <xdr:row>0</xdr:row>
      <xdr:rowOff>0</xdr:rowOff>
    </xdr:from>
    <xdr:to>
      <xdr:col>42</xdr:col>
      <xdr:colOff>152400</xdr:colOff>
      <xdr:row>13</xdr:row>
      <xdr:rowOff>176213</xdr:rowOff>
    </xdr:to>
    <xdr:graphicFrame macro="">
      <xdr:nvGraphicFramePr>
        <xdr:cNvPr id="18" name="Chart 17">
          <a:extLst>
            <a:ext uri="{FF2B5EF4-FFF2-40B4-BE49-F238E27FC236}">
              <a16:creationId xmlns:a16="http://schemas.microsoft.com/office/drawing/2014/main" id="{C3E56016-188E-4454-9666-502E2620E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0.66111</cdr:x>
      <cdr:y>0.51157</cdr:y>
    </cdr:from>
    <cdr:to>
      <cdr:x>0.75486</cdr:x>
      <cdr:y>0.6088</cdr:y>
    </cdr:to>
    <cdr:sp macro="" textlink="">
      <cdr:nvSpPr>
        <cdr:cNvPr id="2" name="TextBox 10">
          <a:extLst xmlns:a="http://schemas.openxmlformats.org/drawingml/2006/main">
            <a:ext uri="{FF2B5EF4-FFF2-40B4-BE49-F238E27FC236}">
              <a16:creationId xmlns:a16="http://schemas.microsoft.com/office/drawing/2014/main" id="{2E5BA921-4B26-87C0-F6F6-3A3399D77583}"/>
            </a:ext>
          </a:extLst>
        </cdr:cNvPr>
        <cdr:cNvSpPr txBox="1"/>
      </cdr:nvSpPr>
      <cdr:spPr>
        <a:xfrm xmlns:a="http://schemas.openxmlformats.org/drawingml/2006/main">
          <a:off x="3022600" y="1403350"/>
          <a:ext cx="428625" cy="26670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b="0" i="0" u="none" strike="noStrike">
              <a:solidFill>
                <a:schemeClr val="dk1"/>
              </a:solidFill>
              <a:effectLst/>
              <a:latin typeface="+mn-lt"/>
              <a:ea typeface="+mn-ea"/>
              <a:cs typeface="+mn-cs"/>
            </a:rPr>
            <a:t>47%</a:t>
          </a:r>
          <a:r>
            <a:rPr lang="en-US">
              <a:effectLst/>
            </a:rPr>
            <a:t> </a:t>
          </a:r>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3.785158796294" createdVersion="8" refreshedVersion="8" minRefreshableVersion="3" recordCount="121" xr:uid="{D6C20FFB-CAC0-42ED-BB54-F27B124B9F43}">
  <cacheSource type="worksheet">
    <worksheetSource ref="A1:S1048576" sheet="Calculated_Columns"/>
  </cacheSource>
  <cacheFields count="19">
    <cacheField name="Order ID" numFmtId="0">
      <sharedItems containsBlank="1"/>
    </cacheField>
    <cacheField name="Order Date" numFmtId="166">
      <sharedItems containsNonDate="0" containsDate="1" containsString="0" containsBlank="1" minDate="2025-01-01T00:00:00" maxDate="2025-07-01T00:00:00"/>
    </cacheField>
    <cacheField name="Month" numFmtId="14">
      <sharedItems containsBlank="1" count="7">
        <s v="January"/>
        <s v="February"/>
        <s v="March"/>
        <s v="April"/>
        <s v="May"/>
        <s v="June"/>
        <m/>
      </sharedItems>
    </cacheField>
    <cacheField name="Weekdays" numFmtId="14">
      <sharedItems containsBlank="1"/>
    </cacheField>
    <cacheField name="Customer Name" numFmtId="0">
      <sharedItems containsBlank="1"/>
    </cacheField>
    <cacheField name="City2" numFmtId="0">
      <sharedItems containsBlank="1" count="5">
        <s v="Lagos"/>
        <s v="Abuja"/>
        <s v="Ibadan"/>
        <s v="Port Harcourt"/>
        <m/>
      </sharedItems>
    </cacheField>
    <cacheField name="Product" numFmtId="0">
      <sharedItems containsBlank="1" count="7">
        <s v="Rice 5kg"/>
        <s v="Beans 5kg"/>
        <s v="Tomato Paste"/>
        <s v="Cooking Oil 2L"/>
        <s v="Garri 5kg"/>
        <s v="Spaghetti"/>
        <m/>
      </sharedItems>
    </cacheField>
    <cacheField name="Quantity" numFmtId="0">
      <sharedItems containsString="0" containsBlank="1" containsNumber="1" containsInteger="1" minValue="1" maxValue="7"/>
    </cacheField>
    <cacheField name="Unit Price" numFmtId="164">
      <sharedItems containsString="0" containsBlank="1" containsNumber="1" containsInteger="1" minValue="1200" maxValue="9000"/>
    </cacheField>
    <cacheField name="Gross Sales" numFmtId="165">
      <sharedItems containsString="0" containsBlank="1" containsNumber="1" containsInteger="1" minValue="1200" maxValue="63000"/>
    </cacheField>
    <cacheField name="Discount" numFmtId="9">
      <sharedItems containsString="0" containsBlank="1" containsNumber="1" minValue="0" maxValue="0.1"/>
    </cacheField>
    <cacheField name="Discount Amount" numFmtId="165">
      <sharedItems containsString="0" containsBlank="1" containsNumber="1" containsInteger="1" minValue="0" maxValue="6300"/>
    </cacheField>
    <cacheField name="Total Sales" numFmtId="165">
      <sharedItems containsString="0" containsBlank="1" containsNumber="1" containsInteger="1" minValue="1080" maxValue="63000"/>
    </cacheField>
    <cacheField name="Unit Cost" numFmtId="164">
      <sharedItems containsString="0" containsBlank="1" containsNumber="1" containsInteger="1" minValue="900" maxValue="7600"/>
    </cacheField>
    <cacheField name="Total Cost" numFmtId="164">
      <sharedItems containsString="0" containsBlank="1" containsNumber="1" containsInteger="1" minValue="900" maxValue="53200"/>
    </cacheField>
    <cacheField name="Profit" numFmtId="164">
      <sharedItems containsString="0" containsBlank="1" containsNumber="1" containsInteger="1" minValue="180" maxValue="10500"/>
    </cacheField>
    <cacheField name="Profit Margin" numFmtId="9">
      <sharedItems containsString="0" containsBlank="1" containsNumber="1" minValue="6.1728395061728392E-2" maxValue="0.25"/>
    </cacheField>
    <cacheField name="Sales Channel" numFmtId="0">
      <sharedItems containsBlank="1" count="6">
        <s v="Instagram"/>
        <s v="WhatsApp"/>
        <s v="Walk-in"/>
        <s v="Phone call"/>
        <m/>
        <s v="WhatsApp " u="1"/>
      </sharedItems>
    </cacheField>
    <cacheField name="Payment Method" numFmtId="0">
      <sharedItems containsBlank="1"/>
    </cacheField>
  </cacheFields>
  <extLst>
    <ext xmlns:x14="http://schemas.microsoft.com/office/spreadsheetml/2009/9/main" uri="{725AE2AE-9491-48be-B2B4-4EB974FC3084}">
      <x14:pivotCacheDefinition pivotCacheId="401566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s v="ES-1001"/>
    <d v="2025-01-01T00:00:00"/>
    <x v="0"/>
    <s v="Wednesday"/>
    <s v="Amina Ibrahim"/>
    <x v="0"/>
    <x v="0"/>
    <n v="1"/>
    <n v="8500"/>
    <n v="8500"/>
    <n v="0"/>
    <n v="0"/>
    <n v="8500"/>
    <n v="7000"/>
    <n v="7000"/>
    <n v="1500"/>
    <n v="0.17647058823529413"/>
    <x v="0"/>
    <s v="Bank Transfer"/>
  </r>
  <r>
    <s v="ES-1002"/>
    <d v="2025-01-02T00:00:00"/>
    <x v="0"/>
    <s v="Thursday"/>
    <s v="Tolu Mensah"/>
    <x v="0"/>
    <x v="1"/>
    <n v="7"/>
    <n v="9000"/>
    <n v="63000"/>
    <n v="0.05"/>
    <n v="3150"/>
    <n v="59850"/>
    <n v="7600"/>
    <n v="53200"/>
    <n v="6650"/>
    <n v="0.1111111111111111"/>
    <x v="1"/>
    <s v="Bank Transfer"/>
  </r>
  <r>
    <s v="ES-1003"/>
    <d v="2025-01-04T00:00:00"/>
    <x v="0"/>
    <s v="Saturday"/>
    <s v="Samuel Mensah"/>
    <x v="0"/>
    <x v="1"/>
    <n v="6"/>
    <n v="9000"/>
    <n v="54000"/>
    <n v="0.1"/>
    <n v="5400"/>
    <n v="48600"/>
    <n v="7600"/>
    <n v="45600"/>
    <n v="3000"/>
    <n v="6.1728395061728392E-2"/>
    <x v="0"/>
    <s v="Bank Transfer"/>
  </r>
  <r>
    <s v="ES-1004"/>
    <d v="2025-01-05T00:00:00"/>
    <x v="0"/>
    <s v="Sunday"/>
    <s v="John Ibrahim"/>
    <x v="0"/>
    <x v="1"/>
    <n v="1"/>
    <n v="9000"/>
    <n v="9000"/>
    <n v="0"/>
    <n v="0"/>
    <n v="9000"/>
    <n v="7600"/>
    <n v="7600"/>
    <n v="1400"/>
    <n v="0.15555555555555556"/>
    <x v="2"/>
    <s v="Cash"/>
  </r>
  <r>
    <s v="ES-1005"/>
    <d v="2025-01-07T00:00:00"/>
    <x v="0"/>
    <s v="Tuesday"/>
    <s v="John Balogun"/>
    <x v="0"/>
    <x v="0"/>
    <n v="6"/>
    <n v="8500"/>
    <n v="51000"/>
    <n v="0"/>
    <n v="0"/>
    <n v="51000"/>
    <n v="7000"/>
    <n v="42000"/>
    <n v="9000"/>
    <n v="0.17647058823529413"/>
    <x v="3"/>
    <s v="Bank Transfer"/>
  </r>
  <r>
    <s v="ES-1006"/>
    <d v="2025-01-08T00:00:00"/>
    <x v="0"/>
    <s v="Wednesday"/>
    <s v="Chiamaka Ojo"/>
    <x v="0"/>
    <x v="2"/>
    <n v="1"/>
    <n v="1800"/>
    <n v="1800"/>
    <n v="0"/>
    <n v="0"/>
    <n v="1800"/>
    <n v="1400"/>
    <n v="1400"/>
    <n v="400"/>
    <n v="0.22222222222222221"/>
    <x v="0"/>
    <s v="Card"/>
  </r>
  <r>
    <s v="ES-1007"/>
    <d v="2025-01-10T00:00:00"/>
    <x v="0"/>
    <s v="Friday"/>
    <s v="Amina Adeyemi"/>
    <x v="0"/>
    <x v="3"/>
    <n v="6"/>
    <n v="7500"/>
    <n v="45000"/>
    <n v="0"/>
    <n v="0"/>
    <n v="45000"/>
    <n v="6300"/>
    <n v="37800"/>
    <n v="7200"/>
    <n v="0.16"/>
    <x v="0"/>
    <s v="Bank Transfer"/>
  </r>
  <r>
    <s v="ES-1008"/>
    <d v="2025-01-11T00:00:00"/>
    <x v="0"/>
    <s v="Saturday"/>
    <s v="Amina Adeyemi"/>
    <x v="1"/>
    <x v="4"/>
    <n v="1"/>
    <n v="5000"/>
    <n v="5000"/>
    <n v="0"/>
    <n v="0"/>
    <n v="5000"/>
    <n v="4000"/>
    <n v="4000"/>
    <n v="1000"/>
    <n v="0.2"/>
    <x v="3"/>
    <s v="Card"/>
  </r>
  <r>
    <s v="ES-1009"/>
    <d v="2025-01-13T00:00:00"/>
    <x v="0"/>
    <s v="Monday"/>
    <s v="Grace Ojo"/>
    <x v="0"/>
    <x v="0"/>
    <n v="4"/>
    <n v="8500"/>
    <n v="34000"/>
    <n v="0.1"/>
    <n v="3400"/>
    <n v="30600"/>
    <n v="7000"/>
    <n v="28000"/>
    <n v="2600"/>
    <n v="8.4967320261437912E-2"/>
    <x v="2"/>
    <s v="Bank Transfer"/>
  </r>
  <r>
    <s v="ES-1010"/>
    <d v="2025-01-14T00:00:00"/>
    <x v="0"/>
    <s v="Tuesday"/>
    <s v="Amina Mensah"/>
    <x v="0"/>
    <x v="0"/>
    <n v="5"/>
    <n v="8500"/>
    <n v="42500"/>
    <n v="0.05"/>
    <n v="2125"/>
    <n v="40375"/>
    <n v="7000"/>
    <n v="35000"/>
    <n v="5375"/>
    <n v="0.13312693498452013"/>
    <x v="2"/>
    <s v="Bank Transfer"/>
  </r>
  <r>
    <s v="ES-1011"/>
    <d v="2025-01-16T00:00:00"/>
    <x v="0"/>
    <s v="Thursday"/>
    <s v="Mary Ojo"/>
    <x v="2"/>
    <x v="4"/>
    <n v="6"/>
    <n v="5000"/>
    <n v="30000"/>
    <n v="0.1"/>
    <n v="3000"/>
    <n v="27000"/>
    <n v="4000"/>
    <n v="24000"/>
    <n v="3000"/>
    <n v="0.1111111111111111"/>
    <x v="1"/>
    <s v="Bank Transfer"/>
  </r>
  <r>
    <s v="ES-1012"/>
    <d v="2025-01-17T00:00:00"/>
    <x v="0"/>
    <s v="Friday"/>
    <s v="David Ojo"/>
    <x v="1"/>
    <x v="5"/>
    <n v="3"/>
    <n v="1200"/>
    <n v="3600"/>
    <n v="0.1"/>
    <n v="360"/>
    <n v="3240"/>
    <n v="900"/>
    <n v="2700"/>
    <n v="540"/>
    <n v="0.16666666666666666"/>
    <x v="1"/>
    <s v="Card"/>
  </r>
  <r>
    <s v="ES-1013"/>
    <d v="2025-01-19T00:00:00"/>
    <x v="0"/>
    <s v="Sunday"/>
    <s v="Tolu Adeyemi"/>
    <x v="2"/>
    <x v="3"/>
    <n v="7"/>
    <n v="7500"/>
    <n v="52500"/>
    <n v="0.1"/>
    <n v="5250"/>
    <n v="47250"/>
    <n v="6300"/>
    <n v="44100"/>
    <n v="3150"/>
    <n v="6.6666666666666666E-2"/>
    <x v="2"/>
    <s v="Bank Transfer"/>
  </r>
  <r>
    <s v="ES-1014"/>
    <d v="2025-01-20T00:00:00"/>
    <x v="0"/>
    <s v="Monday"/>
    <s v="Tolu Ojo"/>
    <x v="2"/>
    <x v="4"/>
    <n v="6"/>
    <n v="5000"/>
    <n v="30000"/>
    <n v="0"/>
    <n v="0"/>
    <n v="30000"/>
    <n v="4000"/>
    <n v="24000"/>
    <n v="6000"/>
    <n v="0.2"/>
    <x v="2"/>
    <s v="Bank Transfer"/>
  </r>
  <r>
    <s v="ES-1015"/>
    <d v="2025-01-22T00:00:00"/>
    <x v="0"/>
    <s v="Wednesday"/>
    <s v="Tolu Balogun"/>
    <x v="0"/>
    <x v="1"/>
    <n v="2"/>
    <n v="9000"/>
    <n v="18000"/>
    <n v="0"/>
    <n v="0"/>
    <n v="18000"/>
    <n v="7600"/>
    <n v="15200"/>
    <n v="2800"/>
    <n v="0.15555555555555556"/>
    <x v="0"/>
    <s v="Bank Transfer"/>
  </r>
  <r>
    <s v="ES-1016"/>
    <d v="2025-01-23T00:00:00"/>
    <x v="0"/>
    <s v="Thursday"/>
    <s v="Tolu Williams"/>
    <x v="0"/>
    <x v="0"/>
    <n v="5"/>
    <n v="8500"/>
    <n v="42500"/>
    <n v="0.1"/>
    <n v="4250"/>
    <n v="38250"/>
    <n v="7000"/>
    <n v="35000"/>
    <n v="3250"/>
    <n v="8.4967320261437912E-2"/>
    <x v="3"/>
    <s v="Bank Transfer"/>
  </r>
  <r>
    <s v="ES-1017"/>
    <d v="2025-01-25T00:00:00"/>
    <x v="0"/>
    <s v="Saturday"/>
    <s v="Mary Ojo"/>
    <x v="0"/>
    <x v="5"/>
    <n v="6"/>
    <n v="1200"/>
    <n v="7200"/>
    <n v="0"/>
    <n v="0"/>
    <n v="7200"/>
    <n v="900"/>
    <n v="5400"/>
    <n v="1800"/>
    <n v="0.25"/>
    <x v="1"/>
    <s v="Bank Transfer"/>
  </r>
  <r>
    <s v="ES-1018"/>
    <d v="2025-01-26T00:00:00"/>
    <x v="0"/>
    <s v="Sunday"/>
    <s v="Daniel Adeyemi"/>
    <x v="0"/>
    <x v="5"/>
    <n v="3"/>
    <n v="1200"/>
    <n v="3600"/>
    <n v="0"/>
    <n v="0"/>
    <n v="3600"/>
    <n v="900"/>
    <n v="2700"/>
    <n v="900"/>
    <n v="0.25"/>
    <x v="0"/>
    <s v="Bank Transfer"/>
  </r>
  <r>
    <s v="ES-1019"/>
    <d v="2025-01-28T00:00:00"/>
    <x v="0"/>
    <s v="Tuesday"/>
    <s v="Chiamaka Williams"/>
    <x v="0"/>
    <x v="3"/>
    <n v="6"/>
    <n v="7500"/>
    <n v="45000"/>
    <n v="0.05"/>
    <n v="2250"/>
    <n v="42750"/>
    <n v="6300"/>
    <n v="37800"/>
    <n v="4950"/>
    <n v="0.11578947368421053"/>
    <x v="1"/>
    <s v="Cash"/>
  </r>
  <r>
    <s v="ES-1020"/>
    <d v="2025-01-29T00:00:00"/>
    <x v="0"/>
    <s v="Wednesday"/>
    <s v="John Ibrahim"/>
    <x v="0"/>
    <x v="4"/>
    <n v="7"/>
    <n v="5000"/>
    <n v="35000"/>
    <n v="0.1"/>
    <n v="3500"/>
    <n v="31500"/>
    <n v="4000"/>
    <n v="28000"/>
    <n v="3500"/>
    <n v="0.1111111111111111"/>
    <x v="3"/>
    <s v="Cash"/>
  </r>
  <r>
    <s v="ES-1021"/>
    <d v="2025-01-31T00:00:00"/>
    <x v="0"/>
    <s v="Friday"/>
    <s v="Mary Eze"/>
    <x v="0"/>
    <x v="0"/>
    <n v="6"/>
    <n v="8500"/>
    <n v="51000"/>
    <n v="0.1"/>
    <n v="5100"/>
    <n v="45900"/>
    <n v="7000"/>
    <n v="42000"/>
    <n v="3900"/>
    <n v="8.4967320261437912E-2"/>
    <x v="1"/>
    <s v="Card"/>
  </r>
  <r>
    <s v="ES-1022"/>
    <d v="2025-02-01T00:00:00"/>
    <x v="1"/>
    <s v="Saturday"/>
    <s v="Ife Okafor"/>
    <x v="2"/>
    <x v="1"/>
    <n v="6"/>
    <n v="9000"/>
    <n v="54000"/>
    <n v="0.1"/>
    <n v="5400"/>
    <n v="48600"/>
    <n v="7600"/>
    <n v="45600"/>
    <n v="3000"/>
    <n v="6.1728395061728392E-2"/>
    <x v="2"/>
    <s v="Card"/>
  </r>
  <r>
    <s v="ES-1023"/>
    <d v="2025-02-03T00:00:00"/>
    <x v="1"/>
    <s v="Monday"/>
    <s v="Daniel Williams"/>
    <x v="2"/>
    <x v="1"/>
    <n v="5"/>
    <n v="9000"/>
    <n v="45000"/>
    <n v="0"/>
    <n v="0"/>
    <n v="45000"/>
    <n v="7600"/>
    <n v="38000"/>
    <n v="7000"/>
    <n v="0.15555555555555556"/>
    <x v="1"/>
    <s v="Cash"/>
  </r>
  <r>
    <s v="ES-1024"/>
    <d v="2025-02-04T00:00:00"/>
    <x v="1"/>
    <s v="Tuesday"/>
    <s v="David Ibrahim"/>
    <x v="3"/>
    <x v="1"/>
    <n v="2"/>
    <n v="9000"/>
    <n v="18000"/>
    <n v="0.05"/>
    <n v="900"/>
    <n v="17100"/>
    <n v="7600"/>
    <n v="15200"/>
    <n v="1900"/>
    <n v="0.1111111111111111"/>
    <x v="1"/>
    <s v="Card"/>
  </r>
  <r>
    <s v="ES-1025"/>
    <d v="2025-02-06T00:00:00"/>
    <x v="1"/>
    <s v="Thursday"/>
    <s v="Tolu Eze"/>
    <x v="3"/>
    <x v="0"/>
    <n v="6"/>
    <n v="8500"/>
    <n v="51000"/>
    <n v="0.1"/>
    <n v="5100"/>
    <n v="45900"/>
    <n v="7000"/>
    <n v="42000"/>
    <n v="3900"/>
    <n v="8.4967320261437912E-2"/>
    <x v="0"/>
    <s v="Bank Transfer"/>
  </r>
  <r>
    <s v="ES-1026"/>
    <d v="2025-02-07T00:00:00"/>
    <x v="1"/>
    <s v="Friday"/>
    <s v="Samuel Balogun"/>
    <x v="0"/>
    <x v="0"/>
    <n v="3"/>
    <n v="8500"/>
    <n v="25500"/>
    <n v="0.05"/>
    <n v="1275"/>
    <n v="24225"/>
    <n v="7000"/>
    <n v="21000"/>
    <n v="3225"/>
    <n v="0.13312693498452013"/>
    <x v="3"/>
    <s v="Bank Transfer"/>
  </r>
  <r>
    <s v="ES-1027"/>
    <d v="2025-02-09T00:00:00"/>
    <x v="1"/>
    <s v="Sunday"/>
    <s v="John Adeyemi"/>
    <x v="1"/>
    <x v="0"/>
    <n v="4"/>
    <n v="8500"/>
    <n v="34000"/>
    <n v="0.1"/>
    <n v="3400"/>
    <n v="30600"/>
    <n v="7000"/>
    <n v="28000"/>
    <n v="2600"/>
    <n v="8.4967320261437912E-2"/>
    <x v="3"/>
    <s v="Bank Transfer"/>
  </r>
  <r>
    <s v="ES-1028"/>
    <d v="2025-02-10T00:00:00"/>
    <x v="1"/>
    <s v="Monday"/>
    <s v="Chiamaka Okafor"/>
    <x v="1"/>
    <x v="0"/>
    <n v="3"/>
    <n v="8500"/>
    <n v="25500"/>
    <n v="0.1"/>
    <n v="2550"/>
    <n v="22950"/>
    <n v="7000"/>
    <n v="21000"/>
    <n v="1950"/>
    <n v="8.4967320261437912E-2"/>
    <x v="0"/>
    <s v="Bank Transfer"/>
  </r>
  <r>
    <s v="ES-1029"/>
    <d v="2025-02-12T00:00:00"/>
    <x v="1"/>
    <s v="Wednesday"/>
    <s v="Mary Balogun"/>
    <x v="0"/>
    <x v="1"/>
    <n v="3"/>
    <n v="9000"/>
    <n v="27000"/>
    <n v="0"/>
    <n v="0"/>
    <n v="27000"/>
    <n v="7600"/>
    <n v="22800"/>
    <n v="4200"/>
    <n v="0.15555555555555556"/>
    <x v="0"/>
    <s v="Card"/>
  </r>
  <r>
    <s v="ES-1030"/>
    <d v="2025-02-13T00:00:00"/>
    <x v="1"/>
    <s v="Thursday"/>
    <s v="John Adeyemi"/>
    <x v="0"/>
    <x v="1"/>
    <n v="2"/>
    <n v="9000"/>
    <n v="18000"/>
    <n v="0"/>
    <n v="0"/>
    <n v="18000"/>
    <n v="7600"/>
    <n v="15200"/>
    <n v="2800"/>
    <n v="0.15555555555555556"/>
    <x v="0"/>
    <s v="Bank Transfer"/>
  </r>
  <r>
    <s v="ES-1031"/>
    <d v="2025-02-15T00:00:00"/>
    <x v="1"/>
    <s v="Saturday"/>
    <s v="John Balogun"/>
    <x v="2"/>
    <x v="5"/>
    <n v="7"/>
    <n v="1200"/>
    <n v="8400"/>
    <n v="0"/>
    <n v="0"/>
    <n v="8400"/>
    <n v="900"/>
    <n v="6300"/>
    <n v="2100"/>
    <n v="0.25"/>
    <x v="1"/>
    <s v="Bank Transfer"/>
  </r>
  <r>
    <s v="ES-1032"/>
    <d v="2025-02-16T00:00:00"/>
    <x v="1"/>
    <s v="Sunday"/>
    <s v="Grace Williams"/>
    <x v="0"/>
    <x v="1"/>
    <n v="2"/>
    <n v="9000"/>
    <n v="18000"/>
    <n v="0"/>
    <n v="0"/>
    <n v="18000"/>
    <n v="7600"/>
    <n v="15200"/>
    <n v="2800"/>
    <n v="0.15555555555555556"/>
    <x v="2"/>
    <s v="Bank Transfer"/>
  </r>
  <r>
    <s v="ES-1033"/>
    <d v="2025-02-18T00:00:00"/>
    <x v="1"/>
    <s v="Tuesday"/>
    <s v="Amina Eze"/>
    <x v="0"/>
    <x v="4"/>
    <n v="1"/>
    <n v="5000"/>
    <n v="5000"/>
    <n v="0"/>
    <n v="0"/>
    <n v="5000"/>
    <n v="4000"/>
    <n v="4000"/>
    <n v="1000"/>
    <n v="0.2"/>
    <x v="1"/>
    <s v="Card"/>
  </r>
  <r>
    <s v="ES-1034"/>
    <d v="2025-02-19T00:00:00"/>
    <x v="1"/>
    <s v="Wednesday"/>
    <s v="Mary Williams"/>
    <x v="3"/>
    <x v="2"/>
    <n v="7"/>
    <n v="1800"/>
    <n v="12600"/>
    <n v="0"/>
    <n v="0"/>
    <n v="12600"/>
    <n v="1400"/>
    <n v="9800"/>
    <n v="2800"/>
    <n v="0.22222222222222221"/>
    <x v="1"/>
    <s v="Bank Transfer"/>
  </r>
  <r>
    <s v="ES-1035"/>
    <d v="2025-02-21T00:00:00"/>
    <x v="1"/>
    <s v="Friday"/>
    <s v="Chiamaka Ibrahim"/>
    <x v="1"/>
    <x v="5"/>
    <n v="4"/>
    <n v="1200"/>
    <n v="4800"/>
    <n v="0.05"/>
    <n v="240"/>
    <n v="4560"/>
    <n v="900"/>
    <n v="3600"/>
    <n v="960"/>
    <n v="0.21052631578947367"/>
    <x v="1"/>
    <s v="Cash"/>
  </r>
  <r>
    <s v="ES-1036"/>
    <d v="2025-02-22T00:00:00"/>
    <x v="1"/>
    <s v="Saturday"/>
    <s v="Amina Mensah"/>
    <x v="1"/>
    <x v="0"/>
    <n v="4"/>
    <n v="8500"/>
    <n v="34000"/>
    <n v="0"/>
    <n v="0"/>
    <n v="34000"/>
    <n v="7000"/>
    <n v="28000"/>
    <n v="6000"/>
    <n v="0.17647058823529413"/>
    <x v="1"/>
    <s v="Bank Transfer"/>
  </r>
  <r>
    <s v="ES-1037"/>
    <d v="2025-02-24T00:00:00"/>
    <x v="1"/>
    <s v="Monday"/>
    <s v="Chiamaka Okafor"/>
    <x v="1"/>
    <x v="0"/>
    <n v="6"/>
    <n v="8500"/>
    <n v="51000"/>
    <n v="0"/>
    <n v="0"/>
    <n v="51000"/>
    <n v="7000"/>
    <n v="42000"/>
    <n v="9000"/>
    <n v="0.17647058823529413"/>
    <x v="1"/>
    <s v="Bank Transfer"/>
  </r>
  <r>
    <s v="ES-1038"/>
    <d v="2025-02-25T00:00:00"/>
    <x v="1"/>
    <s v="Tuesday"/>
    <s v="Chiamaka Ojo"/>
    <x v="0"/>
    <x v="1"/>
    <n v="3"/>
    <n v="9000"/>
    <n v="27000"/>
    <n v="0.05"/>
    <n v="1350"/>
    <n v="25650"/>
    <n v="7600"/>
    <n v="22800"/>
    <n v="2850"/>
    <n v="0.1111111111111111"/>
    <x v="1"/>
    <s v="Bank Transfer"/>
  </r>
  <r>
    <s v="ES-1039"/>
    <d v="2025-02-27T00:00:00"/>
    <x v="1"/>
    <s v="Thursday"/>
    <s v="Grace Ojo"/>
    <x v="0"/>
    <x v="4"/>
    <n v="1"/>
    <n v="5000"/>
    <n v="5000"/>
    <n v="0"/>
    <n v="0"/>
    <n v="5000"/>
    <n v="4000"/>
    <n v="4000"/>
    <n v="1000"/>
    <n v="0.2"/>
    <x v="3"/>
    <s v="Bank Transfer"/>
  </r>
  <r>
    <s v="ES-1040"/>
    <d v="2025-02-28T00:00:00"/>
    <x v="1"/>
    <s v="Friday"/>
    <s v="Samuel Balogun"/>
    <x v="0"/>
    <x v="4"/>
    <n v="6"/>
    <n v="5000"/>
    <n v="30000"/>
    <n v="0.05"/>
    <n v="1500"/>
    <n v="28500"/>
    <n v="4000"/>
    <n v="24000"/>
    <n v="4500"/>
    <n v="0.15789473684210525"/>
    <x v="3"/>
    <s v="Bank Transfer"/>
  </r>
  <r>
    <s v="ES-1041"/>
    <d v="2025-03-02T00:00:00"/>
    <x v="2"/>
    <s v="Sunday"/>
    <s v="Daniel Eze"/>
    <x v="2"/>
    <x v="1"/>
    <n v="2"/>
    <n v="9000"/>
    <n v="18000"/>
    <n v="0"/>
    <n v="0"/>
    <n v="18000"/>
    <n v="7600"/>
    <n v="15200"/>
    <n v="2800"/>
    <n v="0.15555555555555556"/>
    <x v="0"/>
    <s v="Bank Transfer"/>
  </r>
  <r>
    <s v="ES-1042"/>
    <d v="2025-03-04T00:00:00"/>
    <x v="2"/>
    <s v="Tuesday"/>
    <s v="Tolu Mensah"/>
    <x v="1"/>
    <x v="0"/>
    <n v="4"/>
    <n v="8500"/>
    <n v="34000"/>
    <n v="0.1"/>
    <n v="3400"/>
    <n v="30600"/>
    <n v="7000"/>
    <n v="28000"/>
    <n v="2600"/>
    <n v="8.4967320261437912E-2"/>
    <x v="1"/>
    <s v="Bank Transfer"/>
  </r>
  <r>
    <s v="ES-1043"/>
    <d v="2025-03-05T00:00:00"/>
    <x v="2"/>
    <s v="Wednesday"/>
    <s v="Tolu Ibrahim"/>
    <x v="0"/>
    <x v="4"/>
    <n v="7"/>
    <n v="5000"/>
    <n v="35000"/>
    <n v="0"/>
    <n v="0"/>
    <n v="35000"/>
    <n v="4000"/>
    <n v="28000"/>
    <n v="7000"/>
    <n v="0.2"/>
    <x v="1"/>
    <s v="Bank Transfer"/>
  </r>
  <r>
    <s v="ES-1044"/>
    <d v="2025-03-07T00:00:00"/>
    <x v="2"/>
    <s v="Friday"/>
    <s v="Ife Ibrahim"/>
    <x v="1"/>
    <x v="1"/>
    <n v="7"/>
    <n v="9000"/>
    <n v="63000"/>
    <n v="0"/>
    <n v="0"/>
    <n v="63000"/>
    <n v="7600"/>
    <n v="53200"/>
    <n v="9800"/>
    <n v="0.15555555555555556"/>
    <x v="1"/>
    <s v="Card"/>
  </r>
  <r>
    <s v="ES-1045"/>
    <d v="2025-03-08T00:00:00"/>
    <x v="2"/>
    <s v="Saturday"/>
    <s v="Amina Ibrahim"/>
    <x v="1"/>
    <x v="3"/>
    <n v="3"/>
    <n v="7500"/>
    <n v="22500"/>
    <n v="0.1"/>
    <n v="2250"/>
    <n v="20250"/>
    <n v="6300"/>
    <n v="18900"/>
    <n v="1350"/>
    <n v="6.6666666666666666E-2"/>
    <x v="0"/>
    <s v="Bank Transfer"/>
  </r>
  <r>
    <s v="ES-1046"/>
    <d v="2025-03-10T00:00:00"/>
    <x v="2"/>
    <s v="Monday"/>
    <s v="David Balogun"/>
    <x v="3"/>
    <x v="2"/>
    <n v="6"/>
    <n v="1800"/>
    <n v="10800"/>
    <n v="0.05"/>
    <n v="540"/>
    <n v="10260"/>
    <n v="1400"/>
    <n v="8400"/>
    <n v="1860"/>
    <n v="0.18128654970760233"/>
    <x v="0"/>
    <s v="Bank Transfer"/>
  </r>
  <r>
    <s v="ES-1047"/>
    <d v="2025-03-11T00:00:00"/>
    <x v="2"/>
    <s v="Tuesday"/>
    <s v="John Williams"/>
    <x v="0"/>
    <x v="3"/>
    <n v="5"/>
    <n v="7500"/>
    <n v="37500"/>
    <n v="0"/>
    <n v="0"/>
    <n v="37500"/>
    <n v="6300"/>
    <n v="31500"/>
    <n v="6000"/>
    <n v="0.16"/>
    <x v="1"/>
    <s v="Card"/>
  </r>
  <r>
    <s v="ES-1048"/>
    <d v="2025-03-13T00:00:00"/>
    <x v="2"/>
    <s v="Thursday"/>
    <s v="Chiamaka Okafor"/>
    <x v="0"/>
    <x v="1"/>
    <n v="4"/>
    <n v="9000"/>
    <n v="36000"/>
    <n v="0"/>
    <n v="0"/>
    <n v="36000"/>
    <n v="7600"/>
    <n v="30400"/>
    <n v="5600"/>
    <n v="0.15555555555555556"/>
    <x v="1"/>
    <s v="Card"/>
  </r>
  <r>
    <s v="ES-1049"/>
    <d v="2025-03-14T00:00:00"/>
    <x v="2"/>
    <s v="Friday"/>
    <s v="Samuel Williams"/>
    <x v="0"/>
    <x v="1"/>
    <n v="1"/>
    <n v="9000"/>
    <n v="9000"/>
    <n v="0"/>
    <n v="0"/>
    <n v="9000"/>
    <n v="7600"/>
    <n v="7600"/>
    <n v="1400"/>
    <n v="0.15555555555555556"/>
    <x v="1"/>
    <s v="Bank Transfer"/>
  </r>
  <r>
    <s v="ES-1050"/>
    <d v="2025-03-16T00:00:00"/>
    <x v="2"/>
    <s v="Sunday"/>
    <s v="Tolu Adeyemi"/>
    <x v="1"/>
    <x v="0"/>
    <n v="3"/>
    <n v="8500"/>
    <n v="25500"/>
    <n v="0"/>
    <n v="0"/>
    <n v="25500"/>
    <n v="7000"/>
    <n v="21000"/>
    <n v="4500"/>
    <n v="0.17647058823529413"/>
    <x v="1"/>
    <s v="Bank Transfer"/>
  </r>
  <r>
    <s v="ES-1051"/>
    <d v="2025-03-17T00:00:00"/>
    <x v="2"/>
    <s v="Monday"/>
    <s v="Tolu Adeyemi"/>
    <x v="0"/>
    <x v="1"/>
    <n v="5"/>
    <n v="9000"/>
    <n v="45000"/>
    <n v="0"/>
    <n v="0"/>
    <n v="45000"/>
    <n v="7600"/>
    <n v="38000"/>
    <n v="7000"/>
    <n v="0.15555555555555556"/>
    <x v="3"/>
    <s v="Card"/>
  </r>
  <r>
    <s v="ES-1052"/>
    <d v="2025-03-19T00:00:00"/>
    <x v="2"/>
    <s v="Wednesday"/>
    <s v="Daniel Adeyemi"/>
    <x v="2"/>
    <x v="1"/>
    <n v="7"/>
    <n v="9000"/>
    <n v="63000"/>
    <n v="0.05"/>
    <n v="3150"/>
    <n v="59850"/>
    <n v="7600"/>
    <n v="53200"/>
    <n v="6650"/>
    <n v="0.1111111111111111"/>
    <x v="1"/>
    <s v="Bank Transfer"/>
  </r>
  <r>
    <s v="ES-1053"/>
    <d v="2025-03-20T00:00:00"/>
    <x v="2"/>
    <s v="Thursday"/>
    <s v="Ife Balogun"/>
    <x v="3"/>
    <x v="4"/>
    <n v="1"/>
    <n v="5000"/>
    <n v="5000"/>
    <n v="0"/>
    <n v="0"/>
    <n v="5000"/>
    <n v="4000"/>
    <n v="4000"/>
    <n v="1000"/>
    <n v="0.2"/>
    <x v="1"/>
    <s v="Bank Transfer"/>
  </r>
  <r>
    <s v="ES-1054"/>
    <d v="2025-03-22T00:00:00"/>
    <x v="2"/>
    <s v="Saturday"/>
    <s v="John Mensah"/>
    <x v="2"/>
    <x v="1"/>
    <n v="6"/>
    <n v="9000"/>
    <n v="54000"/>
    <n v="0.1"/>
    <n v="5400"/>
    <n v="48600"/>
    <n v="7600"/>
    <n v="45600"/>
    <n v="3000"/>
    <n v="6.1728395061728392E-2"/>
    <x v="0"/>
    <s v="Bank Transfer"/>
  </r>
  <r>
    <s v="ES-1055"/>
    <d v="2025-03-23T00:00:00"/>
    <x v="2"/>
    <s v="Sunday"/>
    <s v="John Mensah"/>
    <x v="0"/>
    <x v="0"/>
    <n v="6"/>
    <n v="8500"/>
    <n v="51000"/>
    <n v="0.05"/>
    <n v="2550"/>
    <n v="48450"/>
    <n v="7000"/>
    <n v="42000"/>
    <n v="6450"/>
    <n v="0.13312693498452013"/>
    <x v="3"/>
    <s v="Card"/>
  </r>
  <r>
    <s v="ES-1056"/>
    <d v="2025-03-25T00:00:00"/>
    <x v="2"/>
    <s v="Tuesday"/>
    <s v="Amina Ibrahim"/>
    <x v="0"/>
    <x v="5"/>
    <n v="7"/>
    <n v="1200"/>
    <n v="8400"/>
    <n v="0.05"/>
    <n v="420"/>
    <n v="7980"/>
    <n v="900"/>
    <n v="6300"/>
    <n v="1680"/>
    <n v="0.21052631578947367"/>
    <x v="1"/>
    <s v="Card"/>
  </r>
  <r>
    <s v="ES-1057"/>
    <d v="2025-03-26T00:00:00"/>
    <x v="2"/>
    <s v="Wednesday"/>
    <s v="Mary Mensah"/>
    <x v="3"/>
    <x v="1"/>
    <n v="3"/>
    <n v="9000"/>
    <n v="27000"/>
    <n v="0"/>
    <n v="0"/>
    <n v="27000"/>
    <n v="7600"/>
    <n v="22800"/>
    <n v="4200"/>
    <n v="0.15555555555555556"/>
    <x v="3"/>
    <s v="Bank Transfer"/>
  </r>
  <r>
    <s v="ES-1058"/>
    <d v="2025-03-28T00:00:00"/>
    <x v="2"/>
    <s v="Friday"/>
    <s v="Daniel Okafor"/>
    <x v="1"/>
    <x v="0"/>
    <n v="1"/>
    <n v="8500"/>
    <n v="8500"/>
    <n v="0"/>
    <n v="0"/>
    <n v="8500"/>
    <n v="7000"/>
    <n v="7000"/>
    <n v="1500"/>
    <n v="0.17647058823529413"/>
    <x v="1"/>
    <s v="Bank Transfer"/>
  </r>
  <r>
    <s v="ES-1059"/>
    <d v="2025-03-29T00:00:00"/>
    <x v="2"/>
    <s v="Saturday"/>
    <s v="Tolu Eze"/>
    <x v="2"/>
    <x v="4"/>
    <n v="2"/>
    <n v="5000"/>
    <n v="10000"/>
    <n v="0"/>
    <n v="0"/>
    <n v="10000"/>
    <n v="4000"/>
    <n v="8000"/>
    <n v="2000"/>
    <n v="0.2"/>
    <x v="3"/>
    <s v="Cash"/>
  </r>
  <r>
    <s v="ES-1060"/>
    <d v="2025-03-31T00:00:00"/>
    <x v="2"/>
    <s v="Monday"/>
    <s v="Samuel Ojo"/>
    <x v="0"/>
    <x v="2"/>
    <n v="6"/>
    <n v="1800"/>
    <n v="10800"/>
    <n v="0.05"/>
    <n v="540"/>
    <n v="10260"/>
    <n v="1400"/>
    <n v="8400"/>
    <n v="1860"/>
    <n v="0.18128654970760233"/>
    <x v="1"/>
    <s v="Bank Transfer"/>
  </r>
  <r>
    <s v="ES-1061"/>
    <d v="2025-04-01T00:00:00"/>
    <x v="3"/>
    <s v="Tuesday"/>
    <s v="David Eze"/>
    <x v="1"/>
    <x v="1"/>
    <n v="7"/>
    <n v="9000"/>
    <n v="63000"/>
    <n v="0"/>
    <n v="0"/>
    <n v="63000"/>
    <n v="7600"/>
    <n v="53200"/>
    <n v="9800"/>
    <n v="0.15555555555555556"/>
    <x v="2"/>
    <s v="Cash"/>
  </r>
  <r>
    <s v="ES-1062"/>
    <d v="2025-04-03T00:00:00"/>
    <x v="3"/>
    <s v="Thursday"/>
    <s v="Tolu Okafor"/>
    <x v="0"/>
    <x v="5"/>
    <n v="5"/>
    <n v="1200"/>
    <n v="6000"/>
    <n v="0"/>
    <n v="0"/>
    <n v="6000"/>
    <n v="900"/>
    <n v="4500"/>
    <n v="1500"/>
    <n v="0.25"/>
    <x v="1"/>
    <s v="Bank Transfer"/>
  </r>
  <r>
    <s v="ES-1063"/>
    <d v="2025-04-04T00:00:00"/>
    <x v="3"/>
    <s v="Friday"/>
    <s v="Ife Ibrahim"/>
    <x v="0"/>
    <x v="0"/>
    <n v="1"/>
    <n v="8500"/>
    <n v="8500"/>
    <n v="0"/>
    <n v="0"/>
    <n v="8500"/>
    <n v="7000"/>
    <n v="7000"/>
    <n v="1500"/>
    <n v="0.17647058823529413"/>
    <x v="1"/>
    <s v="Cash"/>
  </r>
  <r>
    <s v="ES-1064"/>
    <d v="2025-04-06T00:00:00"/>
    <x v="3"/>
    <s v="Sunday"/>
    <s v="David Mensah"/>
    <x v="3"/>
    <x v="2"/>
    <n v="1"/>
    <n v="1800"/>
    <n v="1800"/>
    <n v="0.1"/>
    <n v="180"/>
    <n v="1620"/>
    <n v="1400"/>
    <n v="1400"/>
    <n v="220"/>
    <n v="0.13580246913580246"/>
    <x v="1"/>
    <s v="Bank Transfer"/>
  </r>
  <r>
    <s v="ES-1065"/>
    <d v="2025-04-07T00:00:00"/>
    <x v="3"/>
    <s v="Monday"/>
    <s v="John Ibrahim"/>
    <x v="0"/>
    <x v="3"/>
    <n v="4"/>
    <n v="7500"/>
    <n v="30000"/>
    <n v="0"/>
    <n v="0"/>
    <n v="30000"/>
    <n v="6300"/>
    <n v="25200"/>
    <n v="4800"/>
    <n v="0.16"/>
    <x v="1"/>
    <s v="Card"/>
  </r>
  <r>
    <s v="ES-1066"/>
    <d v="2025-04-09T00:00:00"/>
    <x v="3"/>
    <s v="Wednesday"/>
    <s v="Ife Ibrahim"/>
    <x v="0"/>
    <x v="1"/>
    <n v="5"/>
    <n v="9000"/>
    <n v="45000"/>
    <n v="0.05"/>
    <n v="2250"/>
    <n v="42750"/>
    <n v="7600"/>
    <n v="38000"/>
    <n v="4750"/>
    <n v="0.1111111111111111"/>
    <x v="1"/>
    <s v="Bank Transfer"/>
  </r>
  <r>
    <s v="ES-1067"/>
    <d v="2025-04-10T00:00:00"/>
    <x v="3"/>
    <s v="Thursday"/>
    <s v="David Okafor"/>
    <x v="2"/>
    <x v="0"/>
    <n v="1"/>
    <n v="8500"/>
    <n v="8500"/>
    <n v="0"/>
    <n v="0"/>
    <n v="8500"/>
    <n v="7000"/>
    <n v="7000"/>
    <n v="1500"/>
    <n v="0.17647058823529413"/>
    <x v="3"/>
    <s v="Card"/>
  </r>
  <r>
    <s v="ES-1068"/>
    <d v="2025-04-12T00:00:00"/>
    <x v="3"/>
    <s v="Saturday"/>
    <s v="Ife Ibrahim"/>
    <x v="0"/>
    <x v="0"/>
    <n v="5"/>
    <n v="8500"/>
    <n v="42500"/>
    <n v="0"/>
    <n v="0"/>
    <n v="42500"/>
    <n v="7000"/>
    <n v="35000"/>
    <n v="7500"/>
    <n v="0.17647058823529413"/>
    <x v="3"/>
    <s v="Bank Transfer"/>
  </r>
  <r>
    <s v="ES-1069"/>
    <d v="2025-04-13T00:00:00"/>
    <x v="3"/>
    <s v="Sunday"/>
    <s v="Amina Okafor"/>
    <x v="2"/>
    <x v="0"/>
    <n v="4"/>
    <n v="8500"/>
    <n v="34000"/>
    <n v="0"/>
    <n v="0"/>
    <n v="34000"/>
    <n v="7000"/>
    <n v="28000"/>
    <n v="6000"/>
    <n v="0.17647058823529413"/>
    <x v="3"/>
    <s v="Bank Transfer"/>
  </r>
  <r>
    <s v="ES-1070"/>
    <d v="2025-04-15T00:00:00"/>
    <x v="3"/>
    <s v="Tuesday"/>
    <s v="John Williams"/>
    <x v="0"/>
    <x v="5"/>
    <n v="1"/>
    <n v="1200"/>
    <n v="1200"/>
    <n v="0"/>
    <n v="0"/>
    <n v="1200"/>
    <n v="900"/>
    <n v="900"/>
    <n v="300"/>
    <n v="0.25"/>
    <x v="2"/>
    <s v="Cash"/>
  </r>
  <r>
    <s v="ES-1071"/>
    <d v="2025-04-16T00:00:00"/>
    <x v="3"/>
    <s v="Wednesday"/>
    <s v="Tolu Mensah"/>
    <x v="0"/>
    <x v="0"/>
    <n v="1"/>
    <n v="8500"/>
    <n v="8500"/>
    <n v="0.05"/>
    <n v="425"/>
    <n v="8075"/>
    <n v="7000"/>
    <n v="7000"/>
    <n v="1075"/>
    <n v="0.13312693498452013"/>
    <x v="1"/>
    <s v="Bank Transfer"/>
  </r>
  <r>
    <s v="ES-1072"/>
    <d v="2025-04-18T00:00:00"/>
    <x v="3"/>
    <s v="Friday"/>
    <s v="Daniel Mensah"/>
    <x v="0"/>
    <x v="5"/>
    <n v="4"/>
    <n v="1200"/>
    <n v="4800"/>
    <n v="0"/>
    <n v="0"/>
    <n v="4800"/>
    <n v="900"/>
    <n v="3600"/>
    <n v="1200"/>
    <n v="0.25"/>
    <x v="0"/>
    <s v="Bank Transfer"/>
  </r>
  <r>
    <s v="ES-1073"/>
    <d v="2025-04-19T00:00:00"/>
    <x v="3"/>
    <s v="Saturday"/>
    <s v="David Ojo"/>
    <x v="0"/>
    <x v="0"/>
    <n v="6"/>
    <n v="8500"/>
    <n v="51000"/>
    <n v="0"/>
    <n v="0"/>
    <n v="51000"/>
    <n v="7000"/>
    <n v="42000"/>
    <n v="9000"/>
    <n v="0.17647058823529413"/>
    <x v="1"/>
    <s v="Bank Transfer"/>
  </r>
  <r>
    <s v="ES-1074"/>
    <d v="2025-04-21T00:00:00"/>
    <x v="3"/>
    <s v="Monday"/>
    <s v="Daniel Williams"/>
    <x v="2"/>
    <x v="1"/>
    <n v="6"/>
    <n v="9000"/>
    <n v="54000"/>
    <n v="0.1"/>
    <n v="5400"/>
    <n v="48600"/>
    <n v="7600"/>
    <n v="45600"/>
    <n v="3000"/>
    <n v="6.1728395061728392E-2"/>
    <x v="0"/>
    <s v="Cash"/>
  </r>
  <r>
    <s v="ES-1075"/>
    <d v="2025-04-22T00:00:00"/>
    <x v="3"/>
    <s v="Tuesday"/>
    <s v="Samuel Eze"/>
    <x v="2"/>
    <x v="3"/>
    <n v="4"/>
    <n v="7500"/>
    <n v="30000"/>
    <n v="0"/>
    <n v="0"/>
    <n v="30000"/>
    <n v="6300"/>
    <n v="25200"/>
    <n v="4800"/>
    <n v="0.16"/>
    <x v="1"/>
    <s v="Bank Transfer"/>
  </r>
  <r>
    <s v="ES-1076"/>
    <d v="2025-04-24T00:00:00"/>
    <x v="3"/>
    <s v="Thursday"/>
    <s v="John Adeyemi"/>
    <x v="0"/>
    <x v="0"/>
    <n v="3"/>
    <n v="8500"/>
    <n v="25500"/>
    <n v="0"/>
    <n v="0"/>
    <n v="25500"/>
    <n v="7000"/>
    <n v="21000"/>
    <n v="4500"/>
    <n v="0.17647058823529413"/>
    <x v="3"/>
    <s v="Bank Transfer"/>
  </r>
  <r>
    <s v="ES-1077"/>
    <d v="2025-04-25T00:00:00"/>
    <x v="3"/>
    <s v="Friday"/>
    <s v="Ife Williams"/>
    <x v="0"/>
    <x v="2"/>
    <n v="7"/>
    <n v="1800"/>
    <n v="12600"/>
    <n v="0"/>
    <n v="0"/>
    <n v="12600"/>
    <n v="1400"/>
    <n v="9800"/>
    <n v="2800"/>
    <n v="0.22222222222222221"/>
    <x v="2"/>
    <s v="Card"/>
  </r>
  <r>
    <s v="ES-1078"/>
    <d v="2025-04-27T00:00:00"/>
    <x v="3"/>
    <s v="Sunday"/>
    <s v="Grace Adeyemi"/>
    <x v="0"/>
    <x v="1"/>
    <n v="4"/>
    <n v="9000"/>
    <n v="36000"/>
    <n v="0.05"/>
    <n v="1800"/>
    <n v="34200"/>
    <n v="7600"/>
    <n v="30400"/>
    <n v="3800"/>
    <n v="0.1111111111111111"/>
    <x v="1"/>
    <s v="Cash"/>
  </r>
  <r>
    <s v="ES-1079"/>
    <d v="2025-04-28T00:00:00"/>
    <x v="3"/>
    <s v="Monday"/>
    <s v="Mary Williams"/>
    <x v="3"/>
    <x v="0"/>
    <n v="3"/>
    <n v="8500"/>
    <n v="25500"/>
    <n v="0"/>
    <n v="0"/>
    <n v="25500"/>
    <n v="7000"/>
    <n v="21000"/>
    <n v="4500"/>
    <n v="0.17647058823529413"/>
    <x v="2"/>
    <s v="Card"/>
  </r>
  <r>
    <s v="ES-1080"/>
    <d v="2025-04-30T00:00:00"/>
    <x v="3"/>
    <s v="Wednesday"/>
    <s v="Samuel Eze"/>
    <x v="0"/>
    <x v="3"/>
    <n v="4"/>
    <n v="7500"/>
    <n v="30000"/>
    <n v="0.05"/>
    <n v="1500"/>
    <n v="28500"/>
    <n v="6300"/>
    <n v="25200"/>
    <n v="3300"/>
    <n v="0.11578947368421053"/>
    <x v="1"/>
    <s v="Bank Transfer"/>
  </r>
  <r>
    <s v="ES-1081"/>
    <d v="2025-05-02T00:00:00"/>
    <x v="4"/>
    <s v="Friday"/>
    <s v="David Williams"/>
    <x v="2"/>
    <x v="1"/>
    <n v="1"/>
    <n v="9000"/>
    <n v="9000"/>
    <n v="0.1"/>
    <n v="900"/>
    <n v="8100"/>
    <n v="7600"/>
    <n v="7600"/>
    <n v="500"/>
    <n v="6.1728395061728392E-2"/>
    <x v="3"/>
    <s v="Bank Transfer"/>
  </r>
  <r>
    <s v="ES-1082"/>
    <d v="2025-05-03T00:00:00"/>
    <x v="4"/>
    <s v="Saturday"/>
    <s v="John Eze"/>
    <x v="0"/>
    <x v="4"/>
    <n v="3"/>
    <n v="5000"/>
    <n v="15000"/>
    <n v="0"/>
    <n v="0"/>
    <n v="15000"/>
    <n v="4000"/>
    <n v="12000"/>
    <n v="3000"/>
    <n v="0.2"/>
    <x v="1"/>
    <s v="Cash"/>
  </r>
  <r>
    <s v="ES-1083"/>
    <d v="2025-05-05T00:00:00"/>
    <x v="4"/>
    <s v="Monday"/>
    <s v="Daniel Ibrahim"/>
    <x v="0"/>
    <x v="1"/>
    <n v="4"/>
    <n v="9000"/>
    <n v="36000"/>
    <n v="0"/>
    <n v="0"/>
    <n v="36000"/>
    <n v="7600"/>
    <n v="30400"/>
    <n v="5600"/>
    <n v="0.15555555555555556"/>
    <x v="3"/>
    <s v="Bank Transfer"/>
  </r>
  <r>
    <s v="ES-1084"/>
    <d v="2025-05-06T00:00:00"/>
    <x v="4"/>
    <s v="Tuesday"/>
    <s v="Chiamaka Mensah"/>
    <x v="3"/>
    <x v="3"/>
    <n v="7"/>
    <n v="7500"/>
    <n v="52500"/>
    <n v="0"/>
    <n v="0"/>
    <n v="52500"/>
    <n v="6300"/>
    <n v="44100"/>
    <n v="8400"/>
    <n v="0.16"/>
    <x v="1"/>
    <s v="Bank Transfer"/>
  </r>
  <r>
    <s v="ES-1085"/>
    <d v="2025-05-08T00:00:00"/>
    <x v="4"/>
    <s v="Thursday"/>
    <s v="Samuel Ibrahim"/>
    <x v="3"/>
    <x v="2"/>
    <n v="6"/>
    <n v="1800"/>
    <n v="10800"/>
    <n v="0"/>
    <n v="0"/>
    <n v="10800"/>
    <n v="1400"/>
    <n v="8400"/>
    <n v="2400"/>
    <n v="0.22222222222222221"/>
    <x v="1"/>
    <s v="Cash"/>
  </r>
  <r>
    <s v="ES-1086"/>
    <d v="2025-05-09T00:00:00"/>
    <x v="4"/>
    <s v="Friday"/>
    <s v="Tolu Williams"/>
    <x v="2"/>
    <x v="5"/>
    <n v="6"/>
    <n v="1200"/>
    <n v="7200"/>
    <n v="0.1"/>
    <n v="720"/>
    <n v="6480"/>
    <n v="900"/>
    <n v="5400"/>
    <n v="1080"/>
    <n v="0.16666666666666666"/>
    <x v="0"/>
    <s v="Bank Transfer"/>
  </r>
  <r>
    <s v="ES-1087"/>
    <d v="2025-05-11T00:00:00"/>
    <x v="4"/>
    <s v="Sunday"/>
    <s v="Amina Balogun"/>
    <x v="2"/>
    <x v="4"/>
    <n v="4"/>
    <n v="5000"/>
    <n v="20000"/>
    <n v="0"/>
    <n v="0"/>
    <n v="20000"/>
    <n v="4000"/>
    <n v="16000"/>
    <n v="4000"/>
    <n v="0.2"/>
    <x v="0"/>
    <s v="Card"/>
  </r>
  <r>
    <s v="ES-1088"/>
    <d v="2025-05-12T00:00:00"/>
    <x v="4"/>
    <s v="Monday"/>
    <s v="Ife Eze"/>
    <x v="0"/>
    <x v="1"/>
    <n v="1"/>
    <n v="9000"/>
    <n v="9000"/>
    <n v="0"/>
    <n v="0"/>
    <n v="9000"/>
    <n v="7600"/>
    <n v="7600"/>
    <n v="1400"/>
    <n v="0.15555555555555556"/>
    <x v="0"/>
    <s v="Card"/>
  </r>
  <r>
    <s v="ES-1089"/>
    <d v="2025-05-14T00:00:00"/>
    <x v="4"/>
    <s v="Wednesday"/>
    <s v="Tolu Williams"/>
    <x v="0"/>
    <x v="2"/>
    <n v="1"/>
    <n v="1800"/>
    <n v="1800"/>
    <n v="0"/>
    <n v="0"/>
    <n v="1800"/>
    <n v="1400"/>
    <n v="1400"/>
    <n v="400"/>
    <n v="0.22222222222222221"/>
    <x v="2"/>
    <s v="Card"/>
  </r>
  <r>
    <s v="ES-1090"/>
    <d v="2025-05-15T00:00:00"/>
    <x v="4"/>
    <s v="Thursday"/>
    <s v="Chiamaka Balogun"/>
    <x v="0"/>
    <x v="4"/>
    <n v="7"/>
    <n v="5000"/>
    <n v="35000"/>
    <n v="0"/>
    <n v="0"/>
    <n v="35000"/>
    <n v="4000"/>
    <n v="28000"/>
    <n v="7000"/>
    <n v="0.2"/>
    <x v="3"/>
    <s v="Bank Transfer"/>
  </r>
  <r>
    <s v="ES-1091"/>
    <d v="2025-05-17T00:00:00"/>
    <x v="4"/>
    <s v="Saturday"/>
    <s v="John Williams"/>
    <x v="0"/>
    <x v="1"/>
    <n v="1"/>
    <n v="9000"/>
    <n v="9000"/>
    <n v="0"/>
    <n v="0"/>
    <n v="9000"/>
    <n v="7600"/>
    <n v="7600"/>
    <n v="1400"/>
    <n v="0.15555555555555556"/>
    <x v="1"/>
    <s v="Bank Transfer"/>
  </r>
  <r>
    <s v="ES-1092"/>
    <d v="2025-05-18T00:00:00"/>
    <x v="4"/>
    <s v="Sunday"/>
    <s v="Chiamaka Mensah"/>
    <x v="1"/>
    <x v="1"/>
    <n v="7"/>
    <n v="9000"/>
    <n v="63000"/>
    <n v="0.05"/>
    <n v="3150"/>
    <n v="59850"/>
    <n v="7600"/>
    <n v="53200"/>
    <n v="6650"/>
    <n v="0.1111111111111111"/>
    <x v="3"/>
    <s v="Bank Transfer"/>
  </r>
  <r>
    <s v="ES-1093"/>
    <d v="2025-05-20T00:00:00"/>
    <x v="4"/>
    <s v="Tuesday"/>
    <s v="Chiamaka Balogun"/>
    <x v="2"/>
    <x v="3"/>
    <n v="5"/>
    <n v="7500"/>
    <n v="37500"/>
    <n v="0"/>
    <n v="0"/>
    <n v="37500"/>
    <n v="6300"/>
    <n v="31500"/>
    <n v="6000"/>
    <n v="0.16"/>
    <x v="0"/>
    <s v="Bank Transfer"/>
  </r>
  <r>
    <s v="ES-1094"/>
    <d v="2025-05-21T00:00:00"/>
    <x v="4"/>
    <s v="Wednesday"/>
    <s v="Ife Ibrahim"/>
    <x v="0"/>
    <x v="0"/>
    <n v="2"/>
    <n v="8500"/>
    <n v="17000"/>
    <n v="0.05"/>
    <n v="850"/>
    <n v="16150"/>
    <n v="7000"/>
    <n v="14000"/>
    <n v="2150"/>
    <n v="0.13312693498452013"/>
    <x v="1"/>
    <s v="Bank Transfer"/>
  </r>
  <r>
    <s v="ES-1095"/>
    <d v="2025-05-23T00:00:00"/>
    <x v="4"/>
    <s v="Friday"/>
    <s v="Chiamaka Mensah"/>
    <x v="1"/>
    <x v="2"/>
    <n v="6"/>
    <n v="1800"/>
    <n v="10800"/>
    <n v="0"/>
    <n v="0"/>
    <n v="10800"/>
    <n v="1400"/>
    <n v="8400"/>
    <n v="2400"/>
    <n v="0.22222222222222221"/>
    <x v="1"/>
    <s v="Cash"/>
  </r>
  <r>
    <s v="ES-1096"/>
    <d v="2025-05-24T00:00:00"/>
    <x v="4"/>
    <s v="Saturday"/>
    <s v="Grace Williams"/>
    <x v="0"/>
    <x v="2"/>
    <n v="6"/>
    <n v="1800"/>
    <n v="10800"/>
    <n v="0.1"/>
    <n v="1080"/>
    <n v="9720"/>
    <n v="1400"/>
    <n v="8400"/>
    <n v="1320"/>
    <n v="0.13580246913580246"/>
    <x v="0"/>
    <s v="Bank Transfer"/>
  </r>
  <r>
    <s v="ES-1097"/>
    <d v="2025-05-26T00:00:00"/>
    <x v="4"/>
    <s v="Monday"/>
    <s v="Grace Adeyemi"/>
    <x v="3"/>
    <x v="1"/>
    <n v="1"/>
    <n v="9000"/>
    <n v="9000"/>
    <n v="0"/>
    <n v="0"/>
    <n v="9000"/>
    <n v="7600"/>
    <n v="7600"/>
    <n v="1400"/>
    <n v="0.15555555555555556"/>
    <x v="1"/>
    <s v="Bank Transfer"/>
  </r>
  <r>
    <s v="ES-1098"/>
    <d v="2025-05-27T00:00:00"/>
    <x v="4"/>
    <s v="Tuesday"/>
    <s v="Samuel Adeyemi"/>
    <x v="2"/>
    <x v="5"/>
    <n v="1"/>
    <n v="1200"/>
    <n v="1200"/>
    <n v="0"/>
    <n v="0"/>
    <n v="1200"/>
    <n v="900"/>
    <n v="900"/>
    <n v="300"/>
    <n v="0.25"/>
    <x v="3"/>
    <s v="Card"/>
  </r>
  <r>
    <s v="ES-1099"/>
    <d v="2025-05-29T00:00:00"/>
    <x v="4"/>
    <s v="Thursday"/>
    <s v="Samuel Ibrahim"/>
    <x v="2"/>
    <x v="0"/>
    <n v="5"/>
    <n v="8500"/>
    <n v="42500"/>
    <n v="0"/>
    <n v="0"/>
    <n v="42500"/>
    <n v="7000"/>
    <n v="35000"/>
    <n v="7500"/>
    <n v="0.17647058823529413"/>
    <x v="1"/>
    <s v="Cash"/>
  </r>
  <r>
    <s v="ES-1100"/>
    <d v="2025-05-30T00:00:00"/>
    <x v="4"/>
    <s v="Friday"/>
    <s v="Daniel Eze"/>
    <x v="3"/>
    <x v="0"/>
    <n v="7"/>
    <n v="8500"/>
    <n v="59500"/>
    <n v="0"/>
    <n v="0"/>
    <n v="59500"/>
    <n v="7000"/>
    <n v="49000"/>
    <n v="10500"/>
    <n v="0.17647058823529413"/>
    <x v="1"/>
    <s v="Cash"/>
  </r>
  <r>
    <s v="ES-1101"/>
    <d v="2025-06-01T00:00:00"/>
    <x v="5"/>
    <s v="Sunday"/>
    <s v="Chiamaka Okafor"/>
    <x v="0"/>
    <x v="5"/>
    <n v="1"/>
    <n v="1200"/>
    <n v="1200"/>
    <n v="0.05"/>
    <n v="60"/>
    <n v="1140"/>
    <n v="900"/>
    <n v="900"/>
    <n v="240"/>
    <n v="0.21052631578947367"/>
    <x v="1"/>
    <s v="Card"/>
  </r>
  <r>
    <s v="ES-1102"/>
    <d v="2025-06-02T00:00:00"/>
    <x v="5"/>
    <s v="Monday"/>
    <s v="Daniel Ibrahim"/>
    <x v="2"/>
    <x v="1"/>
    <n v="5"/>
    <n v="9000"/>
    <n v="45000"/>
    <n v="0"/>
    <n v="0"/>
    <n v="45000"/>
    <n v="7600"/>
    <n v="38000"/>
    <n v="7000"/>
    <n v="0.15555555555555556"/>
    <x v="1"/>
    <s v="Bank Transfer"/>
  </r>
  <r>
    <s v="ES-1103"/>
    <d v="2025-06-04T00:00:00"/>
    <x v="5"/>
    <s v="Wednesday"/>
    <s v="Chiamaka Mensah"/>
    <x v="0"/>
    <x v="5"/>
    <n v="1"/>
    <n v="1200"/>
    <n v="1200"/>
    <n v="0.1"/>
    <n v="120"/>
    <n v="1080"/>
    <n v="900"/>
    <n v="900"/>
    <n v="180"/>
    <n v="0.16666666666666666"/>
    <x v="1"/>
    <s v="Cash"/>
  </r>
  <r>
    <s v="ES-1104"/>
    <d v="2025-06-05T00:00:00"/>
    <x v="5"/>
    <s v="Thursday"/>
    <s v="Amina Okafor"/>
    <x v="0"/>
    <x v="3"/>
    <n v="5"/>
    <n v="7500"/>
    <n v="37500"/>
    <n v="0"/>
    <n v="0"/>
    <n v="37500"/>
    <n v="6300"/>
    <n v="31500"/>
    <n v="6000"/>
    <n v="0.16"/>
    <x v="1"/>
    <s v="Cash"/>
  </r>
  <r>
    <s v="ES-1105"/>
    <d v="2025-06-07T00:00:00"/>
    <x v="5"/>
    <s v="Saturday"/>
    <s v="Tolu Mensah"/>
    <x v="3"/>
    <x v="0"/>
    <n v="5"/>
    <n v="8500"/>
    <n v="42500"/>
    <n v="0"/>
    <n v="0"/>
    <n v="42500"/>
    <n v="7000"/>
    <n v="35000"/>
    <n v="7500"/>
    <n v="0.17647058823529413"/>
    <x v="3"/>
    <s v="Cash"/>
  </r>
  <r>
    <s v="ES-1106"/>
    <d v="2025-06-08T00:00:00"/>
    <x v="5"/>
    <s v="Sunday"/>
    <s v="Tolu Williams"/>
    <x v="2"/>
    <x v="1"/>
    <n v="1"/>
    <n v="9000"/>
    <n v="9000"/>
    <n v="0"/>
    <n v="0"/>
    <n v="9000"/>
    <n v="7600"/>
    <n v="7600"/>
    <n v="1400"/>
    <n v="0.15555555555555556"/>
    <x v="1"/>
    <s v="Card"/>
  </r>
  <r>
    <s v="ES-1107"/>
    <d v="2025-06-10T00:00:00"/>
    <x v="5"/>
    <s v="Tuesday"/>
    <s v="Tolu Balogun"/>
    <x v="3"/>
    <x v="1"/>
    <n v="5"/>
    <n v="9000"/>
    <n v="45000"/>
    <n v="0.1"/>
    <n v="4500"/>
    <n v="40500"/>
    <n v="7600"/>
    <n v="38000"/>
    <n v="2500"/>
    <n v="6.1728395061728392E-2"/>
    <x v="2"/>
    <s v="Cash"/>
  </r>
  <r>
    <s v="ES-1108"/>
    <d v="2025-06-11T00:00:00"/>
    <x v="5"/>
    <s v="Wednesday"/>
    <s v="Samuel Ojo"/>
    <x v="3"/>
    <x v="2"/>
    <n v="7"/>
    <n v="1800"/>
    <n v="12600"/>
    <n v="0"/>
    <n v="0"/>
    <n v="12600"/>
    <n v="1400"/>
    <n v="9800"/>
    <n v="2800"/>
    <n v="0.22222222222222221"/>
    <x v="1"/>
    <s v="Card"/>
  </r>
  <r>
    <s v="ES-1109"/>
    <d v="2025-06-13T00:00:00"/>
    <x v="5"/>
    <s v="Friday"/>
    <s v="John Ojo"/>
    <x v="2"/>
    <x v="1"/>
    <n v="7"/>
    <n v="9000"/>
    <n v="63000"/>
    <n v="0.1"/>
    <n v="6300"/>
    <n v="56700"/>
    <n v="7600"/>
    <n v="53200"/>
    <n v="3500"/>
    <n v="6.1728395061728392E-2"/>
    <x v="1"/>
    <s v="Card"/>
  </r>
  <r>
    <s v="ES-1110"/>
    <d v="2025-06-14T00:00:00"/>
    <x v="5"/>
    <s v="Saturday"/>
    <s v="Tolu Okafor"/>
    <x v="0"/>
    <x v="1"/>
    <n v="1"/>
    <n v="9000"/>
    <n v="9000"/>
    <n v="0"/>
    <n v="0"/>
    <n v="9000"/>
    <n v="7600"/>
    <n v="7600"/>
    <n v="1400"/>
    <n v="0.15555555555555556"/>
    <x v="1"/>
    <s v="Card"/>
  </r>
  <r>
    <s v="ES-1111"/>
    <d v="2025-06-16T00:00:00"/>
    <x v="5"/>
    <s v="Monday"/>
    <s v="Grace Ibrahim"/>
    <x v="0"/>
    <x v="5"/>
    <n v="2"/>
    <n v="1200"/>
    <n v="2400"/>
    <n v="0"/>
    <n v="0"/>
    <n v="2400"/>
    <n v="900"/>
    <n v="1800"/>
    <n v="600"/>
    <n v="0.25"/>
    <x v="1"/>
    <s v="Bank Transfer"/>
  </r>
  <r>
    <s v="ES-1112"/>
    <d v="2025-06-17T00:00:00"/>
    <x v="5"/>
    <s v="Tuesday"/>
    <s v="Tolu Balogun"/>
    <x v="0"/>
    <x v="0"/>
    <n v="2"/>
    <n v="8500"/>
    <n v="17000"/>
    <n v="0"/>
    <n v="0"/>
    <n v="17000"/>
    <n v="7000"/>
    <n v="14000"/>
    <n v="3000"/>
    <n v="0.17647058823529413"/>
    <x v="1"/>
    <s v="Card"/>
  </r>
  <r>
    <s v="ES-1113"/>
    <d v="2025-06-19T00:00:00"/>
    <x v="5"/>
    <s v="Thursday"/>
    <s v="Mary Adeyemi"/>
    <x v="2"/>
    <x v="3"/>
    <n v="4"/>
    <n v="7500"/>
    <n v="30000"/>
    <n v="0.05"/>
    <n v="1500"/>
    <n v="28500"/>
    <n v="6300"/>
    <n v="25200"/>
    <n v="3300"/>
    <n v="0.11578947368421053"/>
    <x v="0"/>
    <s v="Bank Transfer"/>
  </r>
  <r>
    <s v="ES-1114"/>
    <d v="2025-06-20T00:00:00"/>
    <x v="5"/>
    <s v="Friday"/>
    <s v="John Balogun"/>
    <x v="1"/>
    <x v="3"/>
    <n v="2"/>
    <n v="7500"/>
    <n v="15000"/>
    <n v="0"/>
    <n v="0"/>
    <n v="15000"/>
    <n v="6300"/>
    <n v="12600"/>
    <n v="2400"/>
    <n v="0.16"/>
    <x v="1"/>
    <s v="Bank Transfer"/>
  </r>
  <r>
    <s v="ES-1115"/>
    <d v="2025-06-22T00:00:00"/>
    <x v="5"/>
    <s v="Sunday"/>
    <s v="Mary Ibrahim"/>
    <x v="3"/>
    <x v="5"/>
    <n v="6"/>
    <n v="1200"/>
    <n v="7200"/>
    <n v="0.05"/>
    <n v="360"/>
    <n v="6840"/>
    <n v="900"/>
    <n v="5400"/>
    <n v="1440"/>
    <n v="0.21052631578947367"/>
    <x v="0"/>
    <s v="Bank Transfer"/>
  </r>
  <r>
    <s v="ES-1116"/>
    <d v="2025-06-23T00:00:00"/>
    <x v="5"/>
    <s v="Monday"/>
    <s v="Mary Mensah"/>
    <x v="3"/>
    <x v="0"/>
    <n v="6"/>
    <n v="8500"/>
    <n v="51000"/>
    <n v="0.05"/>
    <n v="2550"/>
    <n v="48450"/>
    <n v="7000"/>
    <n v="42000"/>
    <n v="6450"/>
    <n v="0.13312693498452013"/>
    <x v="1"/>
    <s v="Bank Transfer"/>
  </r>
  <r>
    <s v="ES-1117"/>
    <d v="2025-06-25T00:00:00"/>
    <x v="5"/>
    <s v="Wednesday"/>
    <s v="Amina Mensah"/>
    <x v="0"/>
    <x v="0"/>
    <n v="6"/>
    <n v="8500"/>
    <n v="51000"/>
    <n v="0"/>
    <n v="0"/>
    <n v="51000"/>
    <n v="7000"/>
    <n v="42000"/>
    <n v="9000"/>
    <n v="0.17647058823529413"/>
    <x v="3"/>
    <s v="Card"/>
  </r>
  <r>
    <s v="ES-1118"/>
    <d v="2025-06-26T00:00:00"/>
    <x v="5"/>
    <s v="Thursday"/>
    <s v="Daniel Ibrahim"/>
    <x v="3"/>
    <x v="0"/>
    <n v="2"/>
    <n v="8500"/>
    <n v="17000"/>
    <n v="0.05"/>
    <n v="850"/>
    <n v="16150"/>
    <n v="7000"/>
    <n v="14000"/>
    <n v="2150"/>
    <n v="0.13312693498452013"/>
    <x v="2"/>
    <s v="Card"/>
  </r>
  <r>
    <s v="ES-1119"/>
    <d v="2025-06-28T00:00:00"/>
    <x v="5"/>
    <s v="Saturday"/>
    <s v="Grace Williams"/>
    <x v="0"/>
    <x v="5"/>
    <n v="1"/>
    <n v="1200"/>
    <n v="1200"/>
    <n v="0.1"/>
    <n v="120"/>
    <n v="1080"/>
    <n v="900"/>
    <n v="900"/>
    <n v="180"/>
    <n v="0.16666666666666666"/>
    <x v="2"/>
    <s v="Bank Transfer"/>
  </r>
  <r>
    <s v="ES-1120"/>
    <d v="2025-06-30T00:00:00"/>
    <x v="5"/>
    <s v="Monday"/>
    <s v="Daniel Mensah"/>
    <x v="0"/>
    <x v="0"/>
    <n v="7"/>
    <n v="8500"/>
    <n v="59500"/>
    <n v="0"/>
    <n v="0"/>
    <n v="59500"/>
    <n v="7000"/>
    <n v="49000"/>
    <n v="10500"/>
    <n v="0.17647058823529413"/>
    <x v="2"/>
    <s v="Card"/>
  </r>
  <r>
    <m/>
    <m/>
    <x v="6"/>
    <m/>
    <m/>
    <x v="4"/>
    <x v="6"/>
    <m/>
    <m/>
    <m/>
    <m/>
    <m/>
    <m/>
    <m/>
    <m/>
    <m/>
    <m/>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BD370D-F3D8-473A-A662-404CCC15BBA2}" name="REVENUE AND PROFIT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F10" firstHeaderRow="0" firstDataRow="1" firstDataCol="1"/>
  <pivotFields count="19">
    <pivotField showAll="0"/>
    <pivotField showAll="0"/>
    <pivotField showAll="0">
      <items count="8">
        <item x="0"/>
        <item x="1"/>
        <item x="2"/>
        <item x="3"/>
        <item x="4"/>
        <item x="5"/>
        <item h="1" x="6"/>
        <item t="default"/>
      </items>
    </pivotField>
    <pivotField showAll="0"/>
    <pivotField showAll="0"/>
    <pivotField showAll="0">
      <items count="6">
        <item x="1"/>
        <item x="2"/>
        <item x="0"/>
        <item x="3"/>
        <item x="4"/>
        <item t="default"/>
      </items>
    </pivotField>
    <pivotField axis="axisRow" showAll="0" sortType="descending">
      <items count="8">
        <item x="1"/>
        <item x="3"/>
        <item x="4"/>
        <item x="0"/>
        <item x="5"/>
        <item x="2"/>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dataField="1" showAll="0"/>
    <pivotField showAll="0"/>
    <pivotField showAll="0"/>
    <pivotField showAll="0"/>
  </pivotFields>
  <rowFields count="1">
    <field x="6"/>
  </rowFields>
  <rowItems count="7">
    <i>
      <x/>
    </i>
    <i>
      <x v="3"/>
    </i>
    <i>
      <x v="1"/>
    </i>
    <i>
      <x v="2"/>
    </i>
    <i>
      <x v="5"/>
    </i>
    <i>
      <x v="4"/>
    </i>
    <i t="grand">
      <x/>
    </i>
  </rowItems>
  <colFields count="1">
    <field x="-2"/>
  </colFields>
  <colItems count="2">
    <i>
      <x/>
    </i>
    <i i="1">
      <x v="1"/>
    </i>
  </colItems>
  <dataFields count="2">
    <dataField name="Sum of Total Sales" fld="12" baseField="0" baseItem="0" numFmtId="164"/>
    <dataField name="Sum of Profit" fld="15" baseField="0" baseItem="0"/>
  </dataFields>
  <formats count="1">
    <format dxfId="21">
      <pivotArea outline="0" collapsedLevelsAreSubtotals="1" fieldPosition="0"/>
    </format>
  </formats>
  <chartFormats count="4">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EA6AFD-2658-4A6E-8AE0-4B1B1D92C203}"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19">
    <pivotField showAll="0"/>
    <pivotField showAll="0"/>
    <pivotField showAll="0">
      <items count="8">
        <item x="0"/>
        <item x="1"/>
        <item x="2"/>
        <item x="3"/>
        <item x="4"/>
        <item x="5"/>
        <item h="1" x="6"/>
        <item t="default"/>
      </items>
    </pivotField>
    <pivotField showAll="0"/>
    <pivotField showAll="0"/>
    <pivotField showAll="0">
      <items count="6">
        <item x="1"/>
        <item x="2"/>
        <item x="0"/>
        <item x="3"/>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Total Cost" fld="14" baseField="0" baseItem="0" numFmtId="165"/>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D65978-3B15-4DE7-A5A1-26ED09F6A31F}" name="Profit Marg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3" firstHeaderRow="0" firstDataRow="1" firstDataCol="0"/>
  <pivotFields count="19">
    <pivotField showAll="0"/>
    <pivotField showAll="0"/>
    <pivotField showAll="0">
      <items count="8">
        <item x="0"/>
        <item x="1"/>
        <item x="2"/>
        <item x="3"/>
        <item x="4"/>
        <item x="5"/>
        <item h="1" x="6"/>
        <item t="default"/>
      </items>
    </pivotField>
    <pivotField showAll="0"/>
    <pivotField showAll="0"/>
    <pivotField showAll="0">
      <items count="6">
        <item x="1"/>
        <item x="2"/>
        <item x="0"/>
        <item x="3"/>
        <item x="4"/>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s>
  <rowItems count="1">
    <i/>
  </rowItems>
  <colFields count="1">
    <field x="-2"/>
  </colFields>
  <colItems count="2">
    <i>
      <x/>
    </i>
    <i i="1">
      <x v="1"/>
    </i>
  </colItems>
  <dataFields count="2">
    <dataField name="Sum of Profit" fld="15" baseField="0" baseItem="0"/>
    <dataField name="Sum of Total Sales" fld="12" baseField="0" baseItem="0"/>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572AA1-18C4-4757-9818-1329C2CF8216}" name="Transact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9">
    <pivotField dataField="1" showAll="0"/>
    <pivotField showAll="0"/>
    <pivotField showAll="0">
      <items count="8">
        <item x="0"/>
        <item x="1"/>
        <item x="2"/>
        <item x="3"/>
        <item x="4"/>
        <item x="5"/>
        <item h="1" x="6"/>
        <item t="default"/>
      </items>
    </pivotField>
    <pivotField showAll="0"/>
    <pivotField showAll="0"/>
    <pivotField showAll="0">
      <items count="6">
        <item x="1"/>
        <item x="2"/>
        <item x="0"/>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 ID" fld="0" subtotal="count" baseField="0" baseItem="0" numFmtId="1"/>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7AE3A0-B391-40B8-B7A5-3F2DEAE159D7}" name="Revenue by sales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4:I19" firstHeaderRow="1" firstDataRow="1" firstDataCol="1"/>
  <pivotFields count="19">
    <pivotField showAll="0"/>
    <pivotField showAll="0"/>
    <pivotField showAll="0" sortType="descending">
      <items count="8">
        <item x="0"/>
        <item x="1"/>
        <item x="2"/>
        <item x="3"/>
        <item x="4"/>
        <item x="5"/>
        <item h="1" x="6"/>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1"/>
        <item x="2"/>
        <item x="0"/>
        <item x="3"/>
        <item x="4"/>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axis="axisRow" showAll="0" sortType="descending">
      <items count="7">
        <item x="0"/>
        <item x="3"/>
        <item x="2"/>
        <item x="1"/>
        <item m="1" x="5"/>
        <item h="1" x="4"/>
        <item t="default"/>
      </items>
      <autoSortScope>
        <pivotArea dataOnly="0" outline="0" fieldPosition="0">
          <references count="1">
            <reference field="4294967294" count="1" selected="0">
              <x v="0"/>
            </reference>
          </references>
        </pivotArea>
      </autoSortScope>
    </pivotField>
    <pivotField showAll="0"/>
  </pivotFields>
  <rowFields count="1">
    <field x="17"/>
  </rowFields>
  <rowItems count="5">
    <i>
      <x v="3"/>
    </i>
    <i>
      <x v="1"/>
    </i>
    <i>
      <x/>
    </i>
    <i>
      <x v="2"/>
    </i>
    <i t="grand">
      <x/>
    </i>
  </rowItems>
  <colItems count="1">
    <i/>
  </colItems>
  <dataFields count="1">
    <dataField name="Sum of Total Sales" fld="12" showDataAs="percentOfTotal" baseField="0" baseItem="0" numFmtId="10"/>
  </dataFields>
  <formats count="3">
    <format dxfId="27">
      <pivotArea outline="0" collapsedLevelsAreSubtotals="1" fieldPosition="0"/>
    </format>
    <format dxfId="26">
      <pivotArea outline="0" fieldPosition="0">
        <references count="1">
          <reference field="4294967294" count="1">
            <x v="0"/>
          </reference>
        </references>
      </pivotArea>
    </format>
    <format dxfId="25">
      <pivotArea collapsedLevelsAreSubtotals="1" fieldPosition="0">
        <references count="1">
          <reference field="17" count="0"/>
        </references>
      </pivotArea>
    </format>
  </formats>
  <chartFormats count="10">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7" count="1" selected="0">
            <x v="3"/>
          </reference>
        </references>
      </pivotArea>
    </chartFormat>
    <chartFormat chart="4" format="12">
      <pivotArea type="data" outline="0" fieldPosition="0">
        <references count="2">
          <reference field="4294967294" count="1" selected="0">
            <x v="0"/>
          </reference>
          <reference field="17" count="1" selected="0">
            <x v="1"/>
          </reference>
        </references>
      </pivotArea>
    </chartFormat>
    <chartFormat chart="4" format="13">
      <pivotArea type="data" outline="0" fieldPosition="0">
        <references count="2">
          <reference field="4294967294" count="1" selected="0">
            <x v="0"/>
          </reference>
          <reference field="17" count="1" selected="0">
            <x v="0"/>
          </reference>
        </references>
      </pivotArea>
    </chartFormat>
    <chartFormat chart="4" format="14">
      <pivotArea type="data" outline="0" fieldPosition="0">
        <references count="2">
          <reference field="4294967294" count="1" selected="0">
            <x v="0"/>
          </reference>
          <reference field="17" count="1" selected="0">
            <x v="2"/>
          </reference>
        </references>
      </pivotArea>
    </chartFormat>
    <chartFormat chart="7" format="25" series="1">
      <pivotArea type="data" outline="0" fieldPosition="0">
        <references count="1">
          <reference field="4294967294" count="1" selected="0">
            <x v="0"/>
          </reference>
        </references>
      </pivotArea>
    </chartFormat>
    <chartFormat chart="7" format="26">
      <pivotArea type="data" outline="0" fieldPosition="0">
        <references count="2">
          <reference field="4294967294" count="1" selected="0">
            <x v="0"/>
          </reference>
          <reference field="17" count="1" selected="0">
            <x v="3"/>
          </reference>
        </references>
      </pivotArea>
    </chartFormat>
    <chartFormat chart="7" format="27">
      <pivotArea type="data" outline="0" fieldPosition="0">
        <references count="2">
          <reference field="4294967294" count="1" selected="0">
            <x v="0"/>
          </reference>
          <reference field="17" count="1" selected="0">
            <x v="1"/>
          </reference>
        </references>
      </pivotArea>
    </chartFormat>
    <chartFormat chart="7" format="28">
      <pivotArea type="data" outline="0" fieldPosition="0">
        <references count="2">
          <reference field="4294967294" count="1" selected="0">
            <x v="0"/>
          </reference>
          <reference field="17" count="1" selected="0">
            <x v="0"/>
          </reference>
        </references>
      </pivotArea>
    </chartFormat>
    <chartFormat chart="7" format="29">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19F792-A1AE-4938-BCED-830D6CA2E7D9}" name="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showAll="0">
      <items count="8">
        <item x="0"/>
        <item x="1"/>
        <item x="2"/>
        <item x="3"/>
        <item x="4"/>
        <item x="5"/>
        <item h="1" x="6"/>
        <item t="default"/>
      </items>
    </pivotField>
    <pivotField showAll="0"/>
    <pivotField showAll="0"/>
    <pivotField showAll="0">
      <items count="6">
        <item x="1"/>
        <item x="2"/>
        <item x="0"/>
        <item x="3"/>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Total Sales" fld="12" baseField="0" baseItem="0" numFmtId="164"/>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4E5A03-861D-4F89-890F-8A34C1DB7845}" name="Revenue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I10" firstHeaderRow="1" firstDataRow="1" firstDataCol="1"/>
  <pivotFields count="19">
    <pivotField showAll="0"/>
    <pivotField showAll="0"/>
    <pivotField axis="axisRow" showAll="0" sortType="descending">
      <items count="8">
        <item x="0"/>
        <item x="1"/>
        <item x="2"/>
        <item x="3"/>
        <item x="4"/>
        <item x="5"/>
        <item h="1" x="6"/>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1"/>
        <item x="2"/>
        <item x="0"/>
        <item x="3"/>
        <item x="4"/>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7">
    <i>
      <x/>
    </i>
    <i>
      <x v="2"/>
    </i>
    <i>
      <x v="3"/>
    </i>
    <i>
      <x v="5"/>
    </i>
    <i>
      <x v="1"/>
    </i>
    <i>
      <x v="4"/>
    </i>
    <i t="grand">
      <x/>
    </i>
  </rowItems>
  <colItems count="1">
    <i/>
  </colItems>
  <dataFields count="1">
    <dataField name="Sum of Total Sales" fld="12" baseField="0" baseItem="0" numFmtId="164"/>
  </dataFields>
  <formats count="1">
    <format dxfId="29">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9A7D7C-5882-4CE5-802C-B47ECEF8C66A}" name="Revenue by 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3:E18" firstHeaderRow="1" firstDataRow="1" firstDataCol="1"/>
  <pivotFields count="19">
    <pivotField showAll="0"/>
    <pivotField showAll="0"/>
    <pivotField showAll="0">
      <items count="8">
        <item x="0"/>
        <item x="1"/>
        <item x="2"/>
        <item x="3"/>
        <item x="4"/>
        <item x="5"/>
        <item h="1" x="6"/>
        <item t="default"/>
      </items>
    </pivotField>
    <pivotField showAll="0"/>
    <pivotField showAll="0"/>
    <pivotField axis="axisRow" showAll="0" sortType="ascending">
      <items count="6">
        <item x="1"/>
        <item x="2"/>
        <item x="0"/>
        <item x="3"/>
        <item x="4"/>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5"/>
  </rowFields>
  <rowItems count="5">
    <i>
      <x v="3"/>
    </i>
    <i>
      <x/>
    </i>
    <i>
      <x v="1"/>
    </i>
    <i>
      <x v="2"/>
    </i>
    <i t="grand">
      <x/>
    </i>
  </rowItems>
  <colItems count="1">
    <i/>
  </colItems>
  <dataFields count="1">
    <dataField name="Sum of Total Sales" fld="12" baseField="0" baseItem="0" numFmtId="164"/>
  </dataFields>
  <formats count="1">
    <format dxfId="30">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6568917-3AA7-42CB-8905-EEED09A69306}" sourceName="Month">
  <pivotTables>
    <pivotTable tabId="7" name="REVENUE AND PROFIT BY PRODUCT"/>
    <pivotTable tabId="7" name="COGS"/>
    <pivotTable tabId="7" name="Profit Margin"/>
    <pivotTable tabId="7" name="Revenue"/>
    <pivotTable tabId="7" name="Revenue by City"/>
    <pivotTable tabId="7" name="Revenue by Month"/>
    <pivotTable tabId="7" name="Revenue by sales channel"/>
    <pivotTable tabId="7" name="Transactions"/>
  </pivotTables>
  <data>
    <tabular pivotCacheId="401566770">
      <items count="7">
        <i x="0" s="1"/>
        <i x="1" s="1"/>
        <i x="2" s="1"/>
        <i x="3" s="1"/>
        <i x="4" s="1"/>
        <i x="5" s="1"/>
        <i x="6"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9EE79A0F-9A4C-4644-B8BC-2746B475C624}" sourceName="City2">
  <pivotTables>
    <pivotTable tabId="7" name="REVENUE AND PROFIT BY PRODUCT"/>
    <pivotTable tabId="7" name="COGS"/>
    <pivotTable tabId="7" name="Profit Margin"/>
    <pivotTable tabId="7" name="Revenue"/>
    <pivotTable tabId="7" name="Revenue by City"/>
    <pivotTable tabId="7" name="Revenue by Month"/>
    <pivotTable tabId="7" name="Revenue by sales channel"/>
    <pivotTable tabId="7" name="Transactions"/>
  </pivotTables>
  <data>
    <tabular pivotCacheId="401566770">
      <items count="5">
        <i x="1" s="1"/>
        <i x="2" s="1"/>
        <i x="0" s="1"/>
        <i x="3"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89AF699-F731-4838-884C-A02AFD19CE7D}" cache="Slicer_Month" caption="Month" columnCount="4" style="SlicerStyleDark1" rowHeight="241300"/>
  <slicer name="City 1" xr10:uid="{4CB5B363-D7F6-46B9-AA1C-3D6680065D18}" cache="Slicer_City2" caption="City" columnCount="4"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5A84985-76B3-4C9B-9954-2B8303EF3CB2}" cache="Slicer_Month" caption="Month" columnCount="4" style="SlicerStyleDark1" rowHeight="241300"/>
  <slicer name="City" xr10:uid="{24290AB1-2E72-405F-BFE2-227DEE955EF9}" cache="Slicer_City2" caption="City" columnCount="4"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93B03E-E63F-49F9-A25D-86DFE84A467F}" name="Table13" displayName="Table13" ref="A1:S121" totalsRowShown="0" headerRowDxfId="20" headerRowBorderDxfId="19" tableBorderDxfId="18">
  <autoFilter ref="A1:S121" xr:uid="{E6ED3967-8518-421B-845A-74FAD26553D1}"/>
  <tableColumns count="19">
    <tableColumn id="1" xr3:uid="{511E2FCE-2EA0-475A-ABD8-10B11B2EA3E4}" name="Order ID"/>
    <tableColumn id="2" xr3:uid="{EFAF2F0F-5DE1-4B32-8B31-E125C998573E}" name="Order Date" dataDxfId="17"/>
    <tableColumn id="28" xr3:uid="{B674F7C7-FBB6-4286-9348-7D034A7F64F4}" name="Month" dataDxfId="16">
      <calculatedColumnFormula>TEXT(Table13[[#This Row],[Order Date]],"mmmm")</calculatedColumnFormula>
    </tableColumn>
    <tableColumn id="30" xr3:uid="{BB2FCDFF-F308-4135-BA78-22D216EDF7E7}" name="Weekdays" dataDxfId="15">
      <calculatedColumnFormula>TEXT(Table13[[#This Row],[Order Date]],"dddd")</calculatedColumnFormula>
    </tableColumn>
    <tableColumn id="13" xr3:uid="{BF18319D-F05F-4380-AA54-9D4DB5CA635E}" name="Customer Name"/>
    <tableColumn id="15" xr3:uid="{6D5D89E0-1300-47AC-A784-C8C427B6A091}" name="City2"/>
    <tableColumn id="5" xr3:uid="{928B0562-AFFA-48E8-B308-577AE458F275}" name="Product"/>
    <tableColumn id="6" xr3:uid="{EF3239B9-BBC4-48B3-B95D-8CE988F092EC}" name="Quantity"/>
    <tableColumn id="7" xr3:uid="{CDF5E641-4A38-44C9-AB1B-5E8E071ADA86}" name="Unit Price" dataDxfId="14"/>
    <tableColumn id="16" xr3:uid="{A7D0F0E1-ED57-461C-B2BB-F582A619DB2A}" name="Gross Sales" dataDxfId="13">
      <calculatedColumnFormula>Table13[[#This Row],[Unit Price]]*Table13[[#This Row],[Quantity]]</calculatedColumnFormula>
    </tableColumn>
    <tableColumn id="22" xr3:uid="{6F3F83F5-1AD8-468C-8A74-89748063E67B}" name="Discount" dataDxfId="12"/>
    <tableColumn id="23" xr3:uid="{6FC0F8BE-9DA6-4073-A6D0-643D3899E010}" name="Discount Amount" dataDxfId="11">
      <calculatedColumnFormula>Table13[[#This Row],[Gross Sales]]*Table13[[#This Row],[Discount]]</calculatedColumnFormula>
    </tableColumn>
    <tableColumn id="24" xr3:uid="{A5729B58-0527-4A8F-9420-CA7C5F880F4A}" name="Total Sales" dataDxfId="10">
      <calculatedColumnFormula>Table13[[#This Row],[Gross Sales]]-Table13[[#This Row],[Discount Amount]]</calculatedColumnFormula>
    </tableColumn>
    <tableColumn id="8" xr3:uid="{9CAD5799-15ED-4041-99FA-8D60E0AB2B3C}" name="Unit Cost" dataDxfId="9"/>
    <tableColumn id="25" xr3:uid="{76EA7E72-C911-42D6-9C58-9397FF2DACA3}" name="Total Cost" dataDxfId="8">
      <calculatedColumnFormula>Table13[[#This Row],[Unit Cost]]*Table13[[#This Row],[Quantity]]</calculatedColumnFormula>
    </tableColumn>
    <tableColumn id="26" xr3:uid="{B4CD66DB-B8E6-4886-A2B0-2D9DA875897A}" name="Profit" dataDxfId="7">
      <calculatedColumnFormula>Table13[[#This Row],[Total Sales]]-Table13[[#This Row],[Total Cost]]</calculatedColumnFormula>
    </tableColumn>
    <tableColumn id="27" xr3:uid="{C80F01BC-94A0-4689-87AC-CD93DF7F4A8D}" name="Profit Margin" dataDxfId="6" dataCellStyle="Percent">
      <calculatedColumnFormula>Table13[[#This Row],[Profit]]/Table13[[#This Row],[Total Sales]]</calculatedColumnFormula>
    </tableColumn>
    <tableColumn id="10" xr3:uid="{9802213C-EE4D-4150-A981-72552462F030}" name="Sales Channel" dataDxfId="5"/>
    <tableColumn id="11" xr3:uid="{44C635C2-7A96-4C3C-95D4-458E24208B67}" name="Payment Metho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ED3967-8518-421B-845A-74FAD26553D1}" name="Table1" displayName="Table1" ref="A1:K121" totalsRowShown="0" headerRowDxfId="4" headerRowBorderDxfId="3" tableBorderDxfId="2">
  <autoFilter ref="A1:K121" xr:uid="{E6ED3967-8518-421B-845A-74FAD26553D1}"/>
  <tableColumns count="11">
    <tableColumn id="1" xr3:uid="{142C0C7C-214F-4923-89C7-747F19AA59DE}" name="Order ID"/>
    <tableColumn id="2" xr3:uid="{B8E18B6E-3B4B-497A-8EBB-AED7D4E1CEDF}" name="Order Date"/>
    <tableColumn id="13" xr3:uid="{2E552FA4-65F5-4CCD-BC02-03D28E3BF4C5}" name="Customer Name2"/>
    <tableColumn id="15" xr3:uid="{FC5E02D7-1B4A-4117-9A98-868CF250F029}" name="City2"/>
    <tableColumn id="5" xr3:uid="{58B945EE-E677-4650-A45C-641E6D64CCBE}" name="Product"/>
    <tableColumn id="6" xr3:uid="{3564CA35-B6A3-4026-9129-A21E734D6A0D}" name="Quantity"/>
    <tableColumn id="7" xr3:uid="{FF2D379F-7E31-42F7-9A8A-CB7DD5A368A7}" name="Unit Price"/>
    <tableColumn id="8" xr3:uid="{9A9E2DA3-25A1-45E5-A990-899C6E8711F5}" name="Unit Cost"/>
    <tableColumn id="9" xr3:uid="{558F0EFF-6E2F-4F72-96BC-BF8E1DAB263B}" name="Discount"/>
    <tableColumn id="10" xr3:uid="{F12015BB-37E9-4805-B642-79E08F58C255}" name="Sales Channel"/>
    <tableColumn id="11" xr3:uid="{628D2F66-FCF3-46D2-A766-44053F10E5F2}" name="Payment Metho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8090A-AFAF-4262-8DD5-53E8EE6F6914}">
  <dimension ref="A1:Z33"/>
  <sheetViews>
    <sheetView topLeftCell="A3" zoomScale="70" zoomScaleNormal="70" workbookViewId="0">
      <selection activeCell="AB18" sqref="AB18"/>
    </sheetView>
  </sheetViews>
  <sheetFormatPr defaultRowHeight="15" x14ac:dyDescent="0.25"/>
  <sheetData>
    <row r="1" spans="1:26" x14ac:dyDescent="0.25">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x14ac:dyDescent="0.25">
      <c r="A2" s="19"/>
      <c r="B2" s="19"/>
      <c r="C2" s="19"/>
      <c r="D2" s="19"/>
      <c r="E2" s="19"/>
      <c r="F2" s="19"/>
      <c r="G2" s="19"/>
      <c r="H2" s="19"/>
      <c r="I2" s="19"/>
      <c r="J2" s="19"/>
      <c r="K2" s="19"/>
      <c r="L2" s="19"/>
      <c r="M2" s="19"/>
      <c r="N2" s="19"/>
      <c r="O2" s="19"/>
      <c r="P2" s="19"/>
      <c r="Q2" s="19"/>
      <c r="R2" s="19"/>
      <c r="S2" s="19"/>
      <c r="T2" s="19"/>
      <c r="U2" s="19"/>
      <c r="V2" s="19"/>
      <c r="W2" s="19"/>
      <c r="X2" s="19"/>
      <c r="Y2" s="19"/>
      <c r="Z2" s="19"/>
    </row>
    <row r="3" spans="1:26" x14ac:dyDescent="0.25">
      <c r="A3" s="19"/>
      <c r="B3" s="19"/>
      <c r="C3" s="19"/>
      <c r="D3" s="19"/>
      <c r="E3" s="19"/>
      <c r="F3" s="19"/>
      <c r="G3" s="19"/>
      <c r="H3" s="19"/>
      <c r="I3" s="19"/>
      <c r="J3" s="19"/>
      <c r="K3" s="19"/>
      <c r="L3" s="19"/>
      <c r="M3" s="19"/>
      <c r="N3" s="19"/>
      <c r="O3" s="19"/>
      <c r="P3" s="19"/>
      <c r="Q3" s="19"/>
      <c r="R3" s="19"/>
      <c r="S3" s="19"/>
      <c r="T3" s="19"/>
      <c r="U3" s="19"/>
      <c r="V3" s="19"/>
      <c r="W3" s="19"/>
      <c r="X3" s="19"/>
      <c r="Y3" s="19"/>
      <c r="Z3" s="19"/>
    </row>
    <row r="4" spans="1:26" x14ac:dyDescent="0.25">
      <c r="A4" s="19"/>
      <c r="B4" s="19"/>
      <c r="C4" s="19"/>
      <c r="D4" s="19"/>
      <c r="E4" s="19"/>
      <c r="F4" s="19"/>
      <c r="G4" s="19"/>
      <c r="H4" s="19"/>
      <c r="I4" s="19"/>
      <c r="J4" s="19"/>
      <c r="K4" s="19"/>
      <c r="L4" s="19"/>
      <c r="M4" s="19"/>
      <c r="N4" s="19"/>
      <c r="O4" s="19"/>
      <c r="P4" s="19"/>
      <c r="Q4" s="19"/>
      <c r="R4" s="19"/>
      <c r="S4" s="19"/>
      <c r="T4" s="19"/>
      <c r="U4" s="19"/>
      <c r="V4" s="19"/>
      <c r="W4" s="19"/>
      <c r="X4" s="19"/>
      <c r="Y4" s="19"/>
      <c r="Z4" s="19"/>
    </row>
    <row r="5" spans="1:26" x14ac:dyDescent="0.25">
      <c r="A5" s="19"/>
      <c r="B5" s="19"/>
      <c r="C5" s="19"/>
      <c r="D5" s="19"/>
      <c r="E5" s="19"/>
      <c r="F5" s="19"/>
      <c r="G5" s="19"/>
      <c r="H5" s="19"/>
      <c r="I5" s="19"/>
      <c r="J5" s="19"/>
      <c r="K5" s="19"/>
      <c r="L5" s="19"/>
      <c r="M5" s="19"/>
      <c r="N5" s="19"/>
      <c r="O5" s="19"/>
      <c r="P5" s="19"/>
      <c r="Q5" s="19"/>
      <c r="R5" s="19"/>
      <c r="S5" s="19"/>
      <c r="T5" s="19"/>
      <c r="U5" s="19"/>
      <c r="V5" s="19"/>
      <c r="W5" s="19"/>
      <c r="X5" s="19"/>
      <c r="Y5" s="19"/>
      <c r="Z5" s="19"/>
    </row>
    <row r="6" spans="1:26" x14ac:dyDescent="0.25">
      <c r="A6" s="19"/>
      <c r="B6" s="19"/>
      <c r="C6" s="19"/>
      <c r="D6" s="19"/>
      <c r="E6" s="19"/>
      <c r="F6" s="19"/>
      <c r="G6" s="19"/>
      <c r="H6" s="19"/>
      <c r="I6" s="19"/>
      <c r="J6" s="19"/>
      <c r="K6" s="19"/>
      <c r="L6" s="19"/>
      <c r="M6" s="19"/>
      <c r="N6" s="19"/>
      <c r="O6" s="19"/>
      <c r="P6" s="19"/>
      <c r="Q6" s="19"/>
      <c r="R6" s="19"/>
      <c r="S6" s="19"/>
      <c r="T6" s="19"/>
      <c r="U6" s="19"/>
      <c r="V6" s="19"/>
      <c r="W6" s="19"/>
      <c r="X6" s="19"/>
      <c r="Y6" s="19"/>
      <c r="Z6" s="19"/>
    </row>
    <row r="7" spans="1:26" x14ac:dyDescent="0.25">
      <c r="A7" s="19"/>
      <c r="B7" s="19"/>
      <c r="C7" s="19"/>
      <c r="D7" s="19"/>
      <c r="E7" s="19"/>
      <c r="F7" s="19"/>
      <c r="G7" s="19"/>
      <c r="H7" s="19"/>
      <c r="I7" s="19"/>
      <c r="J7" s="19"/>
      <c r="K7" s="19"/>
      <c r="L7" s="19"/>
      <c r="M7" s="19"/>
      <c r="N7" s="19"/>
      <c r="O7" s="19"/>
      <c r="P7" s="19"/>
      <c r="Q7" s="19"/>
      <c r="R7" s="19"/>
      <c r="S7" s="19"/>
      <c r="T7" s="19"/>
      <c r="U7" s="19"/>
      <c r="V7" s="19"/>
      <c r="W7" s="19"/>
      <c r="X7" s="19"/>
      <c r="Y7" s="19"/>
      <c r="Z7" s="19"/>
    </row>
    <row r="8" spans="1:26" x14ac:dyDescent="0.25">
      <c r="A8" s="19"/>
      <c r="B8" s="19"/>
      <c r="C8" s="19"/>
      <c r="D8" s="19"/>
      <c r="E8" s="19"/>
      <c r="F8" s="19"/>
      <c r="G8" s="19"/>
      <c r="H8" s="19"/>
      <c r="I8" s="19"/>
      <c r="J8" s="19"/>
      <c r="K8" s="19"/>
      <c r="L8" s="19"/>
      <c r="M8" s="19"/>
      <c r="N8" s="19"/>
      <c r="O8" s="19"/>
      <c r="P8" s="19"/>
      <c r="Q8" s="19"/>
      <c r="R8" s="19"/>
      <c r="S8" s="19"/>
      <c r="T8" s="19"/>
      <c r="U8" s="19"/>
      <c r="V8" s="19"/>
      <c r="W8" s="19"/>
      <c r="X8" s="19"/>
      <c r="Y8" s="19"/>
      <c r="Z8" s="19"/>
    </row>
    <row r="9" spans="1:26" x14ac:dyDescent="0.25">
      <c r="A9" s="19"/>
      <c r="B9" s="19"/>
      <c r="C9" s="19"/>
      <c r="D9" s="19"/>
      <c r="E9" s="19"/>
      <c r="F9" s="19"/>
      <c r="G9" s="19"/>
      <c r="H9" s="19"/>
      <c r="I9" s="19"/>
      <c r="J9" s="19"/>
      <c r="K9" s="19"/>
      <c r="L9" s="19"/>
      <c r="M9" s="19"/>
      <c r="N9" s="19"/>
      <c r="O9" s="19"/>
      <c r="P9" s="19"/>
      <c r="Q9" s="19"/>
      <c r="R9" s="19"/>
      <c r="S9" s="19"/>
      <c r="T9" s="19"/>
      <c r="U9" s="19"/>
      <c r="V9" s="19"/>
      <c r="W9" s="19"/>
      <c r="X9" s="19"/>
      <c r="Y9" s="19"/>
      <c r="Z9" s="19"/>
    </row>
    <row r="10" spans="1:26" x14ac:dyDescent="0.2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spans="1:26" x14ac:dyDescent="0.2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spans="1:26" x14ac:dyDescent="0.2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x14ac:dyDescent="0.2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spans="1:26" x14ac:dyDescent="0.2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spans="1:26" x14ac:dyDescent="0.2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x14ac:dyDescent="0.2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x14ac:dyDescent="0.2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x14ac:dyDescent="0.2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x14ac:dyDescent="0.2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x14ac:dyDescent="0.2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x14ac:dyDescent="0.2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x14ac:dyDescent="0.2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3C019-0A4A-4BCA-AA28-B1DD3317C49E}">
  <dimension ref="A1:Z33"/>
  <sheetViews>
    <sheetView topLeftCell="A2" zoomScale="60" zoomScaleNormal="60" workbookViewId="0">
      <selection activeCell="AD21" sqref="AD21"/>
    </sheetView>
  </sheetViews>
  <sheetFormatPr defaultRowHeight="15" x14ac:dyDescent="0.25"/>
  <sheetData>
    <row r="1" spans="1:26" x14ac:dyDescent="0.25">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x14ac:dyDescent="0.25">
      <c r="A2" s="19"/>
      <c r="B2" s="19"/>
      <c r="C2" s="19"/>
      <c r="D2" s="19"/>
      <c r="E2" s="19"/>
      <c r="F2" s="19"/>
      <c r="G2" s="19"/>
      <c r="H2" s="19"/>
      <c r="I2" s="19"/>
      <c r="J2" s="19"/>
      <c r="K2" s="19"/>
      <c r="L2" s="19"/>
      <c r="M2" s="19"/>
      <c r="N2" s="19"/>
      <c r="O2" s="19"/>
      <c r="P2" s="19"/>
      <c r="Q2" s="19"/>
      <c r="R2" s="19"/>
      <c r="S2" s="19"/>
      <c r="T2" s="19"/>
      <c r="U2" s="19"/>
      <c r="V2" s="19"/>
      <c r="W2" s="19"/>
      <c r="X2" s="19"/>
      <c r="Y2" s="19"/>
      <c r="Z2" s="19"/>
    </row>
    <row r="3" spans="1:26" x14ac:dyDescent="0.25">
      <c r="A3" s="19"/>
      <c r="B3" s="19"/>
      <c r="C3" s="19"/>
      <c r="D3" s="19"/>
      <c r="E3" s="19"/>
      <c r="F3" s="19"/>
      <c r="G3" s="19"/>
      <c r="H3" s="19"/>
      <c r="I3" s="19"/>
      <c r="J3" s="19"/>
      <c r="K3" s="19"/>
      <c r="L3" s="19"/>
      <c r="M3" s="19"/>
      <c r="N3" s="19"/>
      <c r="O3" s="19"/>
      <c r="P3" s="19"/>
      <c r="Q3" s="19"/>
      <c r="R3" s="19"/>
      <c r="S3" s="19"/>
      <c r="T3" s="19"/>
      <c r="U3" s="19"/>
      <c r="V3" s="19"/>
      <c r="W3" s="19"/>
      <c r="X3" s="19"/>
      <c r="Y3" s="19"/>
      <c r="Z3" s="19"/>
    </row>
    <row r="4" spans="1:26" x14ac:dyDescent="0.25">
      <c r="A4" s="19"/>
      <c r="B4" s="19"/>
      <c r="C4" s="19"/>
      <c r="D4" s="19"/>
      <c r="E4" s="19"/>
      <c r="F4" s="19"/>
      <c r="G4" s="19"/>
      <c r="H4" s="19"/>
      <c r="I4" s="19"/>
      <c r="J4" s="19"/>
      <c r="K4" s="19"/>
      <c r="L4" s="19"/>
      <c r="M4" s="19"/>
      <c r="N4" s="19"/>
      <c r="O4" s="19"/>
      <c r="P4" s="19"/>
      <c r="Q4" s="19"/>
      <c r="R4" s="19"/>
      <c r="S4" s="19"/>
      <c r="T4" s="19"/>
      <c r="U4" s="19"/>
      <c r="V4" s="19"/>
      <c r="W4" s="19"/>
      <c r="X4" s="19"/>
      <c r="Y4" s="19"/>
      <c r="Z4" s="19"/>
    </row>
    <row r="5" spans="1:26" x14ac:dyDescent="0.25">
      <c r="A5" s="19"/>
      <c r="B5" s="19"/>
      <c r="C5" s="19"/>
      <c r="D5" s="19"/>
      <c r="E5" s="19"/>
      <c r="F5" s="19"/>
      <c r="G5" s="19"/>
      <c r="H5" s="19"/>
      <c r="I5" s="19"/>
      <c r="J5" s="19"/>
      <c r="K5" s="19"/>
      <c r="L5" s="19"/>
      <c r="M5" s="19"/>
      <c r="N5" s="19"/>
      <c r="O5" s="19"/>
      <c r="P5" s="19"/>
      <c r="Q5" s="19"/>
      <c r="R5" s="19"/>
      <c r="S5" s="19"/>
      <c r="T5" s="19"/>
      <c r="U5" s="19"/>
      <c r="V5" s="19"/>
      <c r="W5" s="19"/>
      <c r="X5" s="19"/>
      <c r="Y5" s="19"/>
      <c r="Z5" s="19"/>
    </row>
    <row r="6" spans="1:26" x14ac:dyDescent="0.25">
      <c r="A6" s="19"/>
      <c r="B6" s="19"/>
      <c r="C6" s="19"/>
      <c r="D6" s="19"/>
      <c r="E6" s="19"/>
      <c r="F6" s="19"/>
      <c r="G6" s="19"/>
      <c r="H6" s="19"/>
      <c r="I6" s="19"/>
      <c r="J6" s="19"/>
      <c r="K6" s="19"/>
      <c r="L6" s="19"/>
      <c r="M6" s="19"/>
      <c r="N6" s="19"/>
      <c r="O6" s="19"/>
      <c r="P6" s="19"/>
      <c r="Q6" s="19"/>
      <c r="R6" s="19"/>
      <c r="S6" s="19"/>
      <c r="T6" s="19"/>
      <c r="U6" s="19"/>
      <c r="V6" s="19"/>
      <c r="W6" s="19"/>
      <c r="X6" s="19"/>
      <c r="Y6" s="19"/>
      <c r="Z6" s="19"/>
    </row>
    <row r="7" spans="1:26" x14ac:dyDescent="0.25">
      <c r="A7" s="19"/>
      <c r="B7" s="19"/>
      <c r="C7" s="19"/>
      <c r="D7" s="19"/>
      <c r="E7" s="19"/>
      <c r="F7" s="19"/>
      <c r="G7" s="19"/>
      <c r="H7" s="19"/>
      <c r="I7" s="19"/>
      <c r="J7" s="19"/>
      <c r="K7" s="19"/>
      <c r="L7" s="19"/>
      <c r="M7" s="19"/>
      <c r="N7" s="19"/>
      <c r="O7" s="19"/>
      <c r="P7" s="19"/>
      <c r="Q7" s="19"/>
      <c r="R7" s="19"/>
      <c r="S7" s="19"/>
      <c r="T7" s="19"/>
      <c r="U7" s="19"/>
      <c r="V7" s="19"/>
      <c r="W7" s="19"/>
      <c r="X7" s="19"/>
      <c r="Y7" s="19"/>
      <c r="Z7" s="19"/>
    </row>
    <row r="8" spans="1:26" x14ac:dyDescent="0.25">
      <c r="A8" s="19"/>
      <c r="B8" s="19"/>
      <c r="C8" s="19"/>
      <c r="D8" s="19"/>
      <c r="E8" s="19"/>
      <c r="F8" s="19"/>
      <c r="G8" s="19"/>
      <c r="H8" s="19"/>
      <c r="I8" s="19"/>
      <c r="J8" s="19"/>
      <c r="K8" s="19"/>
      <c r="L8" s="19"/>
      <c r="M8" s="19"/>
      <c r="N8" s="19"/>
      <c r="O8" s="19"/>
      <c r="P8" s="19"/>
      <c r="Q8" s="19"/>
      <c r="R8" s="19"/>
      <c r="S8" s="19"/>
      <c r="T8" s="19"/>
      <c r="U8" s="19"/>
      <c r="V8" s="19"/>
      <c r="W8" s="19"/>
      <c r="X8" s="19"/>
      <c r="Y8" s="19"/>
      <c r="Z8" s="19"/>
    </row>
    <row r="9" spans="1:26" x14ac:dyDescent="0.25">
      <c r="A9" s="19"/>
      <c r="B9" s="19"/>
      <c r="C9" s="19"/>
      <c r="D9" s="19"/>
      <c r="E9" s="19"/>
      <c r="F9" s="19"/>
      <c r="G9" s="19"/>
      <c r="H9" s="19"/>
      <c r="I9" s="19"/>
      <c r="J9" s="19"/>
      <c r="K9" s="19"/>
      <c r="L9" s="19"/>
      <c r="M9" s="19"/>
      <c r="N9" s="19"/>
      <c r="O9" s="19"/>
      <c r="P9" s="19"/>
      <c r="Q9" s="19"/>
      <c r="R9" s="19"/>
      <c r="S9" s="19"/>
      <c r="T9" s="19"/>
      <c r="U9" s="19"/>
      <c r="V9" s="19"/>
      <c r="W9" s="19"/>
      <c r="X9" s="19"/>
      <c r="Y9" s="19"/>
      <c r="Z9" s="19"/>
    </row>
    <row r="10" spans="1:26" x14ac:dyDescent="0.2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spans="1:26" x14ac:dyDescent="0.2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spans="1:26" x14ac:dyDescent="0.2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x14ac:dyDescent="0.2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spans="1:26" x14ac:dyDescent="0.2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spans="1:26" x14ac:dyDescent="0.2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x14ac:dyDescent="0.2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x14ac:dyDescent="0.2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x14ac:dyDescent="0.2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x14ac:dyDescent="0.2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x14ac:dyDescent="0.2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x14ac:dyDescent="0.2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x14ac:dyDescent="0.2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DC1F0-4FF6-4D5F-9102-56DAE70ADF07}">
  <dimension ref="A1:M20"/>
  <sheetViews>
    <sheetView topLeftCell="W1" zoomScale="90" zoomScaleNormal="90" workbookViewId="0">
      <selection activeCell="K13" sqref="K13"/>
    </sheetView>
  </sheetViews>
  <sheetFormatPr defaultRowHeight="15" x14ac:dyDescent="0.25"/>
  <cols>
    <col min="1" max="1" width="16.5703125" bestFit="1" customWidth="1"/>
    <col min="2" max="2" width="17.28515625" bestFit="1" customWidth="1"/>
    <col min="4" max="4" width="13.140625" bestFit="1" customWidth="1"/>
    <col min="5" max="5" width="17.28515625" bestFit="1" customWidth="1"/>
    <col min="6" max="6" width="12.5703125" bestFit="1" customWidth="1"/>
    <col min="8" max="8" width="13.140625" bestFit="1" customWidth="1"/>
    <col min="9" max="9" width="17.28515625" bestFit="1" customWidth="1"/>
  </cols>
  <sheetData>
    <row r="1" spans="1:13" ht="21" x14ac:dyDescent="0.35">
      <c r="A1" s="17" t="s">
        <v>353</v>
      </c>
      <c r="E1" s="17" t="s">
        <v>373</v>
      </c>
      <c r="M1" s="17" t="s">
        <v>374</v>
      </c>
    </row>
    <row r="2" spans="1:13" x14ac:dyDescent="0.25">
      <c r="A2" t="s">
        <v>366</v>
      </c>
      <c r="D2" t="s">
        <v>368</v>
      </c>
      <c r="H2" t="s">
        <v>369</v>
      </c>
    </row>
    <row r="3" spans="1:13" x14ac:dyDescent="0.25">
      <c r="A3" t="s">
        <v>354</v>
      </c>
      <c r="D3" s="15" t="s">
        <v>356</v>
      </c>
      <c r="E3" t="s">
        <v>354</v>
      </c>
      <c r="F3" t="s">
        <v>355</v>
      </c>
      <c r="H3" s="15" t="s">
        <v>356</v>
      </c>
      <c r="I3" t="s">
        <v>354</v>
      </c>
    </row>
    <row r="4" spans="1:13" x14ac:dyDescent="0.25">
      <c r="A4" s="8">
        <v>3079935</v>
      </c>
      <c r="B4" s="10"/>
      <c r="D4" s="16" t="s">
        <v>324</v>
      </c>
      <c r="E4" s="8">
        <v>1120950</v>
      </c>
      <c r="F4" s="8">
        <v>132950</v>
      </c>
      <c r="H4" s="16" t="s">
        <v>359</v>
      </c>
      <c r="I4" s="8">
        <v>594415</v>
      </c>
    </row>
    <row r="5" spans="1:13" x14ac:dyDescent="0.25">
      <c r="D5" s="16" t="s">
        <v>325</v>
      </c>
      <c r="E5" s="8">
        <v>1092675</v>
      </c>
      <c r="F5" s="8">
        <v>161675</v>
      </c>
      <c r="H5" s="16" t="s">
        <v>361</v>
      </c>
      <c r="I5" s="8">
        <v>555750</v>
      </c>
    </row>
    <row r="6" spans="1:13" x14ac:dyDescent="0.25">
      <c r="A6" t="s">
        <v>371</v>
      </c>
      <c r="D6" s="16" t="s">
        <v>327</v>
      </c>
      <c r="E6" s="8">
        <v>452250</v>
      </c>
      <c r="F6" s="8">
        <v>61650</v>
      </c>
      <c r="H6" s="16" t="s">
        <v>362</v>
      </c>
      <c r="I6" s="8">
        <v>506845</v>
      </c>
    </row>
    <row r="7" spans="1:13" x14ac:dyDescent="0.25">
      <c r="A7" t="s">
        <v>367</v>
      </c>
      <c r="D7" s="16" t="s">
        <v>328</v>
      </c>
      <c r="E7" s="8">
        <v>252000</v>
      </c>
      <c r="F7" s="8">
        <v>44000</v>
      </c>
      <c r="H7" s="16" t="s">
        <v>364</v>
      </c>
      <c r="I7" s="8">
        <v>500940</v>
      </c>
    </row>
    <row r="8" spans="1:13" x14ac:dyDescent="0.25">
      <c r="A8" s="18">
        <v>120</v>
      </c>
      <c r="D8" s="16" t="s">
        <v>326</v>
      </c>
      <c r="E8" s="8">
        <v>94860</v>
      </c>
      <c r="F8" s="8">
        <v>19260</v>
      </c>
      <c r="H8" s="16" t="s">
        <v>360</v>
      </c>
      <c r="I8" s="8">
        <v>472085</v>
      </c>
    </row>
    <row r="9" spans="1:13" x14ac:dyDescent="0.25">
      <c r="D9" s="16" t="s">
        <v>329</v>
      </c>
      <c r="E9" s="8">
        <v>67200</v>
      </c>
      <c r="F9" s="8">
        <v>15000</v>
      </c>
      <c r="H9" s="16" t="s">
        <v>363</v>
      </c>
      <c r="I9" s="8">
        <v>449900</v>
      </c>
    </row>
    <row r="10" spans="1:13" x14ac:dyDescent="0.25">
      <c r="D10" s="16" t="s">
        <v>357</v>
      </c>
      <c r="E10" s="8">
        <v>3079935</v>
      </c>
      <c r="F10" s="8">
        <v>434535</v>
      </c>
      <c r="H10" s="16" t="s">
        <v>357</v>
      </c>
      <c r="I10" s="8">
        <v>3079935</v>
      </c>
    </row>
    <row r="11" spans="1:13" x14ac:dyDescent="0.25">
      <c r="A11" t="s">
        <v>350</v>
      </c>
    </row>
    <row r="12" spans="1:13" x14ac:dyDescent="0.25">
      <c r="A12" t="s">
        <v>355</v>
      </c>
      <c r="B12" t="s">
        <v>354</v>
      </c>
      <c r="D12" s="16" t="s">
        <v>358</v>
      </c>
    </row>
    <row r="13" spans="1:13" x14ac:dyDescent="0.25">
      <c r="A13" s="10">
        <v>434535</v>
      </c>
      <c r="B13" s="10">
        <v>3079935</v>
      </c>
      <c r="D13" s="15" t="s">
        <v>356</v>
      </c>
      <c r="E13" t="s">
        <v>354</v>
      </c>
      <c r="H13" s="16" t="s">
        <v>370</v>
      </c>
    </row>
    <row r="14" spans="1:13" x14ac:dyDescent="0.25">
      <c r="A14" t="s">
        <v>350</v>
      </c>
      <c r="D14" s="16" t="s">
        <v>321</v>
      </c>
      <c r="E14" s="8">
        <v>443820</v>
      </c>
      <c r="H14" s="15" t="s">
        <v>356</v>
      </c>
      <c r="I14" t="s">
        <v>354</v>
      </c>
    </row>
    <row r="15" spans="1:13" x14ac:dyDescent="0.25">
      <c r="A15" s="12">
        <f>GETPIVOTDATA("Sum of Profit",$A$12)/GETPIVOTDATA("Sum of Total Sales",$A$12)</f>
        <v>0.141085769667217</v>
      </c>
      <c r="D15" s="16" t="s">
        <v>318</v>
      </c>
      <c r="E15" s="8">
        <v>447850</v>
      </c>
      <c r="H15" s="16" t="s">
        <v>334</v>
      </c>
      <c r="I15" s="6">
        <v>0.46695952999008095</v>
      </c>
      <c r="J15" s="12">
        <f>GETPIVOTDATA("Total Sales",$H$14,"Sales Channel","WhatsApp")</f>
        <v>0.46695952999008095</v>
      </c>
    </row>
    <row r="16" spans="1:13" x14ac:dyDescent="0.25">
      <c r="D16" s="16" t="s">
        <v>319</v>
      </c>
      <c r="E16" s="8">
        <v>718780</v>
      </c>
      <c r="H16" s="16" t="s">
        <v>344</v>
      </c>
      <c r="I16" s="6">
        <v>0.2236004980624591</v>
      </c>
      <c r="J16" s="12">
        <f>GETPIVOTDATA("Total Sales",$H$14,"Sales Channel","Phone call")</f>
        <v>0.2236004980624591</v>
      </c>
    </row>
    <row r="17" spans="1:10" x14ac:dyDescent="0.25">
      <c r="D17" s="16" t="s">
        <v>315</v>
      </c>
      <c r="E17" s="8">
        <v>1469485</v>
      </c>
      <c r="H17" s="16" t="s">
        <v>330</v>
      </c>
      <c r="I17" s="6">
        <v>0.1649060775633252</v>
      </c>
      <c r="J17" s="12">
        <f>GETPIVOTDATA("Total Sales",$H$14,"Sales Channel","Instagram")</f>
        <v>0.1649060775633252</v>
      </c>
    </row>
    <row r="18" spans="1:10" x14ac:dyDescent="0.25">
      <c r="A18" t="s">
        <v>372</v>
      </c>
      <c r="D18" s="16" t="s">
        <v>357</v>
      </c>
      <c r="E18" s="8">
        <v>3079935</v>
      </c>
      <c r="H18" s="16" t="s">
        <v>332</v>
      </c>
      <c r="I18" s="6">
        <v>0.14453389438413472</v>
      </c>
      <c r="J18" s="12">
        <f>GETPIVOTDATA("Total Sales",$H$14,"Sales Channel","Walk-in")</f>
        <v>0.14453389438413472</v>
      </c>
    </row>
    <row r="19" spans="1:10" x14ac:dyDescent="0.25">
      <c r="A19" t="s">
        <v>365</v>
      </c>
      <c r="H19" s="16" t="s">
        <v>357</v>
      </c>
      <c r="I19" s="20">
        <v>1</v>
      </c>
    </row>
    <row r="20" spans="1:10" x14ac:dyDescent="0.25">
      <c r="A20" s="10">
        <v>2645400</v>
      </c>
      <c r="B20" s="10"/>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148BB-464C-49F4-A970-8DD3EDD9996E}">
  <dimension ref="A1:S121"/>
  <sheetViews>
    <sheetView topLeftCell="I1" workbookViewId="0">
      <selection activeCell="T1" sqref="T1:T1048576"/>
    </sheetView>
  </sheetViews>
  <sheetFormatPr defaultRowHeight="15" x14ac:dyDescent="0.25"/>
  <cols>
    <col min="1" max="1" width="13" bestFit="1" customWidth="1"/>
    <col min="2" max="2" width="15.28515625" style="14" bestFit="1" customWidth="1"/>
    <col min="3" max="4" width="15.28515625" style="4" customWidth="1"/>
    <col min="5" max="5" width="21" bestFit="1" customWidth="1"/>
    <col min="6" max="6" width="12.7109375" bestFit="1" customWidth="1"/>
    <col min="7" max="7" width="13.5703125" bestFit="1" customWidth="1"/>
    <col min="8" max="8" width="13.28515625" bestFit="1" customWidth="1"/>
    <col min="9" max="9" width="14.28515625" style="8" bestFit="1" customWidth="1"/>
    <col min="10" max="10" width="14.28515625" style="10" customWidth="1"/>
    <col min="11" max="11" width="14.7109375" style="6" bestFit="1" customWidth="1"/>
    <col min="12" max="12" width="22.5703125" style="10" bestFit="1" customWidth="1"/>
    <col min="13" max="13" width="22.5703125" style="10" customWidth="1"/>
    <col min="14" max="14" width="13.7109375" style="8" bestFit="1" customWidth="1"/>
    <col min="15" max="16" width="13.7109375" style="8" customWidth="1"/>
    <col min="17" max="17" width="17.28515625" style="12" bestFit="1" customWidth="1"/>
    <col min="18" max="18" width="15.42578125" customWidth="1"/>
    <col min="19" max="19" width="18.5703125" customWidth="1"/>
  </cols>
  <sheetData>
    <row r="1" spans="1:19" x14ac:dyDescent="0.25">
      <c r="A1" s="2" t="s">
        <v>0</v>
      </c>
      <c r="B1" s="13" t="s">
        <v>1</v>
      </c>
      <c r="C1" s="3" t="s">
        <v>351</v>
      </c>
      <c r="D1" s="3" t="s">
        <v>352</v>
      </c>
      <c r="E1" s="2" t="s">
        <v>2</v>
      </c>
      <c r="F1" s="2" t="s">
        <v>343</v>
      </c>
      <c r="G1" s="2" t="s">
        <v>4</v>
      </c>
      <c r="H1" s="2" t="s">
        <v>5</v>
      </c>
      <c r="I1" s="7" t="s">
        <v>6</v>
      </c>
      <c r="J1" s="9" t="s">
        <v>345</v>
      </c>
      <c r="K1" s="5" t="s">
        <v>8</v>
      </c>
      <c r="L1" s="9" t="s">
        <v>346</v>
      </c>
      <c r="M1" s="9" t="s">
        <v>347</v>
      </c>
      <c r="N1" s="7" t="s">
        <v>7</v>
      </c>
      <c r="O1" s="7" t="s">
        <v>349</v>
      </c>
      <c r="P1" s="7" t="s">
        <v>348</v>
      </c>
      <c r="Q1" s="11" t="s">
        <v>350</v>
      </c>
      <c r="R1" s="2" t="s">
        <v>9</v>
      </c>
      <c r="S1" s="2" t="s">
        <v>10</v>
      </c>
    </row>
    <row r="2" spans="1:19" x14ac:dyDescent="0.25">
      <c r="A2" t="s">
        <v>11</v>
      </c>
      <c r="B2" s="14">
        <v>45658</v>
      </c>
      <c r="C2" s="4" t="str">
        <f>TEXT(Table13[[#This Row],[Order Date]],"mmmm")</f>
        <v>January</v>
      </c>
      <c r="D2" s="4" t="str">
        <f>TEXT(Table13[[#This Row],[Order Date]],"dddd")</f>
        <v>Wednesday</v>
      </c>
      <c r="E2" t="s">
        <v>251</v>
      </c>
      <c r="F2" t="s">
        <v>315</v>
      </c>
      <c r="G2" t="s">
        <v>325</v>
      </c>
      <c r="H2">
        <v>1</v>
      </c>
      <c r="I2" s="8">
        <v>8500</v>
      </c>
      <c r="J2" s="10">
        <f>Table13[[#This Row],[Unit Price]]*Table13[[#This Row],[Quantity]]</f>
        <v>8500</v>
      </c>
      <c r="K2" s="6">
        <v>0</v>
      </c>
      <c r="L2" s="10">
        <f>Table13[[#This Row],[Gross Sales]]*Table13[[#This Row],[Discount]]</f>
        <v>0</v>
      </c>
      <c r="M2" s="10">
        <f>Table13[[#This Row],[Gross Sales]]-Table13[[#This Row],[Discount Amount]]</f>
        <v>8500</v>
      </c>
      <c r="N2" s="8">
        <v>7000</v>
      </c>
      <c r="O2" s="8">
        <f>Table13[[#This Row],[Unit Cost]]*Table13[[#This Row],[Quantity]]</f>
        <v>7000</v>
      </c>
      <c r="P2" s="8">
        <f>Table13[[#This Row],[Total Sales]]-Table13[[#This Row],[Total Cost]]</f>
        <v>1500</v>
      </c>
      <c r="Q2" s="12">
        <f>Table13[[#This Row],[Profit]]/Table13[[#This Row],[Total Sales]]</f>
        <v>0.17647058823529413</v>
      </c>
      <c r="R2" t="s">
        <v>330</v>
      </c>
      <c r="S2" t="s">
        <v>336</v>
      </c>
    </row>
    <row r="3" spans="1:19" x14ac:dyDescent="0.25">
      <c r="A3" t="s">
        <v>12</v>
      </c>
      <c r="B3" s="14">
        <v>45659</v>
      </c>
      <c r="C3" s="4" t="str">
        <f>TEXT(Table13[[#This Row],[Order Date]],"mmmm")</f>
        <v>January</v>
      </c>
      <c r="D3" s="4" t="str">
        <f>TEXT(Table13[[#This Row],[Order Date]],"dddd")</f>
        <v>Thursday</v>
      </c>
      <c r="E3" t="s">
        <v>252</v>
      </c>
      <c r="F3" t="s">
        <v>315</v>
      </c>
      <c r="G3" t="s">
        <v>324</v>
      </c>
      <c r="H3">
        <v>7</v>
      </c>
      <c r="I3" s="8">
        <v>9000</v>
      </c>
      <c r="J3" s="10">
        <f>Table13[[#This Row],[Unit Price]]*Table13[[#This Row],[Quantity]]</f>
        <v>63000</v>
      </c>
      <c r="K3" s="6">
        <v>0.05</v>
      </c>
      <c r="L3" s="10">
        <f>Table13[[#This Row],[Gross Sales]]*Table13[[#This Row],[Discount]]</f>
        <v>3150</v>
      </c>
      <c r="M3" s="10">
        <f>Table13[[#This Row],[Gross Sales]]-Table13[[#This Row],[Discount Amount]]</f>
        <v>59850</v>
      </c>
      <c r="N3" s="8">
        <v>7600</v>
      </c>
      <c r="O3" s="8">
        <f>Table13[[#This Row],[Unit Cost]]*Table13[[#This Row],[Quantity]]</f>
        <v>53200</v>
      </c>
      <c r="P3" s="8">
        <f>Table13[[#This Row],[Total Sales]]-Table13[[#This Row],[Total Cost]]</f>
        <v>6650</v>
      </c>
      <c r="Q3" s="12">
        <f>Table13[[#This Row],[Profit]]/Table13[[#This Row],[Total Sales]]</f>
        <v>0.1111111111111111</v>
      </c>
      <c r="R3" t="s">
        <v>334</v>
      </c>
      <c r="S3" t="s">
        <v>336</v>
      </c>
    </row>
    <row r="4" spans="1:19" x14ac:dyDescent="0.25">
      <c r="A4" t="s">
        <v>13</v>
      </c>
      <c r="B4" s="14">
        <v>45661</v>
      </c>
      <c r="C4" s="4" t="str">
        <f>TEXT(Table13[[#This Row],[Order Date]],"mmmm")</f>
        <v>January</v>
      </c>
      <c r="D4" s="4" t="str">
        <f>TEXT(Table13[[#This Row],[Order Date]],"dddd")</f>
        <v>Saturday</v>
      </c>
      <c r="E4" t="s">
        <v>253</v>
      </c>
      <c r="F4" t="s">
        <v>315</v>
      </c>
      <c r="G4" t="s">
        <v>324</v>
      </c>
      <c r="H4">
        <v>6</v>
      </c>
      <c r="I4" s="8">
        <v>9000</v>
      </c>
      <c r="J4" s="10">
        <f>Table13[[#This Row],[Unit Price]]*Table13[[#This Row],[Quantity]]</f>
        <v>54000</v>
      </c>
      <c r="K4" s="6">
        <v>0.1</v>
      </c>
      <c r="L4" s="10">
        <f>Table13[[#This Row],[Gross Sales]]*Table13[[#This Row],[Discount]]</f>
        <v>5400</v>
      </c>
      <c r="M4" s="10">
        <f>Table13[[#This Row],[Gross Sales]]-Table13[[#This Row],[Discount Amount]]</f>
        <v>48600</v>
      </c>
      <c r="N4" s="8">
        <v>7600</v>
      </c>
      <c r="O4" s="8">
        <f>Table13[[#This Row],[Unit Cost]]*Table13[[#This Row],[Quantity]]</f>
        <v>45600</v>
      </c>
      <c r="P4" s="8">
        <f>Table13[[#This Row],[Total Sales]]-Table13[[#This Row],[Total Cost]]</f>
        <v>3000</v>
      </c>
      <c r="Q4" s="12">
        <f>Table13[[#This Row],[Profit]]/Table13[[#This Row],[Total Sales]]</f>
        <v>6.1728395061728392E-2</v>
      </c>
      <c r="R4" t="s">
        <v>330</v>
      </c>
      <c r="S4" t="s">
        <v>336</v>
      </c>
    </row>
    <row r="5" spans="1:19" x14ac:dyDescent="0.25">
      <c r="A5" t="s">
        <v>14</v>
      </c>
      <c r="B5" s="14">
        <v>45662</v>
      </c>
      <c r="C5" s="4" t="str">
        <f>TEXT(Table13[[#This Row],[Order Date]],"mmmm")</f>
        <v>January</v>
      </c>
      <c r="D5" s="4" t="str">
        <f>TEXT(Table13[[#This Row],[Order Date]],"dddd")</f>
        <v>Sunday</v>
      </c>
      <c r="E5" t="s">
        <v>254</v>
      </c>
      <c r="F5" t="s">
        <v>315</v>
      </c>
      <c r="G5" t="s">
        <v>324</v>
      </c>
      <c r="H5">
        <v>1</v>
      </c>
      <c r="I5" s="8">
        <v>9000</v>
      </c>
      <c r="J5" s="10">
        <f>Table13[[#This Row],[Unit Price]]*Table13[[#This Row],[Quantity]]</f>
        <v>9000</v>
      </c>
      <c r="K5" s="6">
        <v>0</v>
      </c>
      <c r="L5" s="10">
        <f>Table13[[#This Row],[Gross Sales]]*Table13[[#This Row],[Discount]]</f>
        <v>0</v>
      </c>
      <c r="M5" s="10">
        <f>Table13[[#This Row],[Gross Sales]]-Table13[[#This Row],[Discount Amount]]</f>
        <v>9000</v>
      </c>
      <c r="N5" s="8">
        <v>7600</v>
      </c>
      <c r="O5" s="8">
        <f>Table13[[#This Row],[Unit Cost]]*Table13[[#This Row],[Quantity]]</f>
        <v>7600</v>
      </c>
      <c r="P5" s="8">
        <f>Table13[[#This Row],[Total Sales]]-Table13[[#This Row],[Total Cost]]</f>
        <v>1400</v>
      </c>
      <c r="Q5" s="12">
        <f>Table13[[#This Row],[Profit]]/Table13[[#This Row],[Total Sales]]</f>
        <v>0.15555555555555556</v>
      </c>
      <c r="R5" t="s">
        <v>332</v>
      </c>
      <c r="S5" t="s">
        <v>337</v>
      </c>
    </row>
    <row r="6" spans="1:19" x14ac:dyDescent="0.25">
      <c r="A6" t="s">
        <v>15</v>
      </c>
      <c r="B6" s="14">
        <v>45664</v>
      </c>
      <c r="C6" s="4" t="str">
        <f>TEXT(Table13[[#This Row],[Order Date]],"mmmm")</f>
        <v>January</v>
      </c>
      <c r="D6" s="4" t="str">
        <f>TEXT(Table13[[#This Row],[Order Date]],"dddd")</f>
        <v>Tuesday</v>
      </c>
      <c r="E6" t="s">
        <v>255</v>
      </c>
      <c r="F6" t="s">
        <v>315</v>
      </c>
      <c r="G6" t="s">
        <v>325</v>
      </c>
      <c r="H6">
        <v>6</v>
      </c>
      <c r="I6" s="8">
        <v>8500</v>
      </c>
      <c r="J6" s="10">
        <f>Table13[[#This Row],[Unit Price]]*Table13[[#This Row],[Quantity]]</f>
        <v>51000</v>
      </c>
      <c r="K6" s="6">
        <v>0</v>
      </c>
      <c r="L6" s="10">
        <f>Table13[[#This Row],[Gross Sales]]*Table13[[#This Row],[Discount]]</f>
        <v>0</v>
      </c>
      <c r="M6" s="10">
        <f>Table13[[#This Row],[Gross Sales]]-Table13[[#This Row],[Discount Amount]]</f>
        <v>51000</v>
      </c>
      <c r="N6" s="8">
        <v>7000</v>
      </c>
      <c r="O6" s="8">
        <f>Table13[[#This Row],[Unit Cost]]*Table13[[#This Row],[Quantity]]</f>
        <v>42000</v>
      </c>
      <c r="P6" s="8">
        <f>Table13[[#This Row],[Total Sales]]-Table13[[#This Row],[Total Cost]]</f>
        <v>9000</v>
      </c>
      <c r="Q6" s="12">
        <f>Table13[[#This Row],[Profit]]/Table13[[#This Row],[Total Sales]]</f>
        <v>0.17647058823529413</v>
      </c>
      <c r="R6" t="s">
        <v>344</v>
      </c>
      <c r="S6" t="s">
        <v>336</v>
      </c>
    </row>
    <row r="7" spans="1:19" x14ac:dyDescent="0.25">
      <c r="A7" t="s">
        <v>16</v>
      </c>
      <c r="B7" s="14">
        <v>45665</v>
      </c>
      <c r="C7" s="4" t="str">
        <f>TEXT(Table13[[#This Row],[Order Date]],"mmmm")</f>
        <v>January</v>
      </c>
      <c r="D7" s="4" t="str">
        <f>TEXT(Table13[[#This Row],[Order Date]],"dddd")</f>
        <v>Wednesday</v>
      </c>
      <c r="E7" t="s">
        <v>256</v>
      </c>
      <c r="F7" t="s">
        <v>315</v>
      </c>
      <c r="G7" t="s">
        <v>326</v>
      </c>
      <c r="H7">
        <v>1</v>
      </c>
      <c r="I7" s="8">
        <v>1800</v>
      </c>
      <c r="J7" s="10">
        <f>Table13[[#This Row],[Unit Price]]*Table13[[#This Row],[Quantity]]</f>
        <v>1800</v>
      </c>
      <c r="K7" s="6">
        <v>0</v>
      </c>
      <c r="L7" s="10">
        <f>Table13[[#This Row],[Gross Sales]]*Table13[[#This Row],[Discount]]</f>
        <v>0</v>
      </c>
      <c r="M7" s="10">
        <f>Table13[[#This Row],[Gross Sales]]-Table13[[#This Row],[Discount Amount]]</f>
        <v>1800</v>
      </c>
      <c r="N7" s="8">
        <v>1400</v>
      </c>
      <c r="O7" s="8">
        <f>Table13[[#This Row],[Unit Cost]]*Table13[[#This Row],[Quantity]]</f>
        <v>1400</v>
      </c>
      <c r="P7" s="8">
        <f>Table13[[#This Row],[Total Sales]]-Table13[[#This Row],[Total Cost]]</f>
        <v>400</v>
      </c>
      <c r="Q7" s="12">
        <f>Table13[[#This Row],[Profit]]/Table13[[#This Row],[Total Sales]]</f>
        <v>0.22222222222222221</v>
      </c>
      <c r="R7" t="s">
        <v>330</v>
      </c>
      <c r="S7" t="s">
        <v>339</v>
      </c>
    </row>
    <row r="8" spans="1:19" x14ac:dyDescent="0.25">
      <c r="A8" t="s">
        <v>17</v>
      </c>
      <c r="B8" s="14">
        <v>45667</v>
      </c>
      <c r="C8" s="4" t="str">
        <f>TEXT(Table13[[#This Row],[Order Date]],"mmmm")</f>
        <v>January</v>
      </c>
      <c r="D8" s="4" t="str">
        <f>TEXT(Table13[[#This Row],[Order Date]],"dddd")</f>
        <v>Friday</v>
      </c>
      <c r="E8" t="s">
        <v>257</v>
      </c>
      <c r="F8" t="s">
        <v>315</v>
      </c>
      <c r="G8" t="s">
        <v>327</v>
      </c>
      <c r="H8">
        <v>6</v>
      </c>
      <c r="I8" s="8">
        <v>7500</v>
      </c>
      <c r="J8" s="10">
        <f>Table13[[#This Row],[Unit Price]]*Table13[[#This Row],[Quantity]]</f>
        <v>45000</v>
      </c>
      <c r="K8" s="6">
        <v>0</v>
      </c>
      <c r="L8" s="10">
        <f>Table13[[#This Row],[Gross Sales]]*Table13[[#This Row],[Discount]]</f>
        <v>0</v>
      </c>
      <c r="M8" s="10">
        <f>Table13[[#This Row],[Gross Sales]]-Table13[[#This Row],[Discount Amount]]</f>
        <v>45000</v>
      </c>
      <c r="N8" s="8">
        <v>6300</v>
      </c>
      <c r="O8" s="8">
        <f>Table13[[#This Row],[Unit Cost]]*Table13[[#This Row],[Quantity]]</f>
        <v>37800</v>
      </c>
      <c r="P8" s="8">
        <f>Table13[[#This Row],[Total Sales]]-Table13[[#This Row],[Total Cost]]</f>
        <v>7200</v>
      </c>
      <c r="Q8" s="12">
        <f>Table13[[#This Row],[Profit]]/Table13[[#This Row],[Total Sales]]</f>
        <v>0.16</v>
      </c>
      <c r="R8" t="s">
        <v>330</v>
      </c>
      <c r="S8" t="s">
        <v>336</v>
      </c>
    </row>
    <row r="9" spans="1:19" x14ac:dyDescent="0.25">
      <c r="A9" t="s">
        <v>18</v>
      </c>
      <c r="B9" s="14">
        <v>45668</v>
      </c>
      <c r="C9" s="4" t="str">
        <f>TEXT(Table13[[#This Row],[Order Date]],"mmmm")</f>
        <v>January</v>
      </c>
      <c r="D9" s="4" t="str">
        <f>TEXT(Table13[[#This Row],[Order Date]],"dddd")</f>
        <v>Saturday</v>
      </c>
      <c r="E9" t="s">
        <v>257</v>
      </c>
      <c r="F9" t="s">
        <v>318</v>
      </c>
      <c r="G9" t="s">
        <v>328</v>
      </c>
      <c r="H9">
        <v>1</v>
      </c>
      <c r="I9" s="8">
        <v>5000</v>
      </c>
      <c r="J9" s="10">
        <f>Table13[[#This Row],[Unit Price]]*Table13[[#This Row],[Quantity]]</f>
        <v>5000</v>
      </c>
      <c r="K9" s="6">
        <v>0</v>
      </c>
      <c r="L9" s="10">
        <f>Table13[[#This Row],[Gross Sales]]*Table13[[#This Row],[Discount]]</f>
        <v>0</v>
      </c>
      <c r="M9" s="10">
        <f>Table13[[#This Row],[Gross Sales]]-Table13[[#This Row],[Discount Amount]]</f>
        <v>5000</v>
      </c>
      <c r="N9" s="8">
        <v>4000</v>
      </c>
      <c r="O9" s="8">
        <f>Table13[[#This Row],[Unit Cost]]*Table13[[#This Row],[Quantity]]</f>
        <v>4000</v>
      </c>
      <c r="P9" s="8">
        <f>Table13[[#This Row],[Total Sales]]-Table13[[#This Row],[Total Cost]]</f>
        <v>1000</v>
      </c>
      <c r="Q9" s="12">
        <f>Table13[[#This Row],[Profit]]/Table13[[#This Row],[Total Sales]]</f>
        <v>0.2</v>
      </c>
      <c r="R9" t="s">
        <v>344</v>
      </c>
      <c r="S9" t="s">
        <v>339</v>
      </c>
    </row>
    <row r="10" spans="1:19" x14ac:dyDescent="0.25">
      <c r="A10" t="s">
        <v>19</v>
      </c>
      <c r="B10" s="14">
        <v>45670</v>
      </c>
      <c r="C10" s="4" t="str">
        <f>TEXT(Table13[[#This Row],[Order Date]],"mmmm")</f>
        <v>January</v>
      </c>
      <c r="D10" s="4" t="str">
        <f>TEXT(Table13[[#This Row],[Order Date]],"dddd")</f>
        <v>Monday</v>
      </c>
      <c r="E10" t="s">
        <v>259</v>
      </c>
      <c r="F10" t="s">
        <v>315</v>
      </c>
      <c r="G10" t="s">
        <v>325</v>
      </c>
      <c r="H10">
        <v>4</v>
      </c>
      <c r="I10" s="8">
        <v>8500</v>
      </c>
      <c r="J10" s="10">
        <f>Table13[[#This Row],[Unit Price]]*Table13[[#This Row],[Quantity]]</f>
        <v>34000</v>
      </c>
      <c r="K10" s="6">
        <v>0.1</v>
      </c>
      <c r="L10" s="10">
        <f>Table13[[#This Row],[Gross Sales]]*Table13[[#This Row],[Discount]]</f>
        <v>3400</v>
      </c>
      <c r="M10" s="10">
        <f>Table13[[#This Row],[Gross Sales]]-Table13[[#This Row],[Discount Amount]]</f>
        <v>30600</v>
      </c>
      <c r="N10" s="8">
        <v>7000</v>
      </c>
      <c r="O10" s="8">
        <f>Table13[[#This Row],[Unit Cost]]*Table13[[#This Row],[Quantity]]</f>
        <v>28000</v>
      </c>
      <c r="P10" s="8">
        <f>Table13[[#This Row],[Total Sales]]-Table13[[#This Row],[Total Cost]]</f>
        <v>2600</v>
      </c>
      <c r="Q10" s="12">
        <f>Table13[[#This Row],[Profit]]/Table13[[#This Row],[Total Sales]]</f>
        <v>8.4967320261437912E-2</v>
      </c>
      <c r="R10" t="s">
        <v>332</v>
      </c>
      <c r="S10" t="s">
        <v>336</v>
      </c>
    </row>
    <row r="11" spans="1:19" x14ac:dyDescent="0.25">
      <c r="A11" t="s">
        <v>20</v>
      </c>
      <c r="B11" s="14">
        <v>45671</v>
      </c>
      <c r="C11" s="4" t="str">
        <f>TEXT(Table13[[#This Row],[Order Date]],"mmmm")</f>
        <v>January</v>
      </c>
      <c r="D11" s="4" t="str">
        <f>TEXT(Table13[[#This Row],[Order Date]],"dddd")</f>
        <v>Tuesday</v>
      </c>
      <c r="E11" t="s">
        <v>260</v>
      </c>
      <c r="F11" t="s">
        <v>315</v>
      </c>
      <c r="G11" t="s">
        <v>325</v>
      </c>
      <c r="H11">
        <v>5</v>
      </c>
      <c r="I11" s="8">
        <v>8500</v>
      </c>
      <c r="J11" s="10">
        <f>Table13[[#This Row],[Unit Price]]*Table13[[#This Row],[Quantity]]</f>
        <v>42500</v>
      </c>
      <c r="K11" s="6">
        <v>0.05</v>
      </c>
      <c r="L11" s="10">
        <f>Table13[[#This Row],[Gross Sales]]*Table13[[#This Row],[Discount]]</f>
        <v>2125</v>
      </c>
      <c r="M11" s="10">
        <f>Table13[[#This Row],[Gross Sales]]-Table13[[#This Row],[Discount Amount]]</f>
        <v>40375</v>
      </c>
      <c r="N11" s="8">
        <v>7000</v>
      </c>
      <c r="O11" s="8">
        <f>Table13[[#This Row],[Unit Cost]]*Table13[[#This Row],[Quantity]]</f>
        <v>35000</v>
      </c>
      <c r="P11" s="8">
        <f>Table13[[#This Row],[Total Sales]]-Table13[[#This Row],[Total Cost]]</f>
        <v>5375</v>
      </c>
      <c r="Q11" s="12">
        <f>Table13[[#This Row],[Profit]]/Table13[[#This Row],[Total Sales]]</f>
        <v>0.13312693498452013</v>
      </c>
      <c r="R11" t="s">
        <v>332</v>
      </c>
      <c r="S11" t="s">
        <v>336</v>
      </c>
    </row>
    <row r="12" spans="1:19" x14ac:dyDescent="0.25">
      <c r="A12" t="s">
        <v>21</v>
      </c>
      <c r="B12" s="14">
        <v>45673</v>
      </c>
      <c r="C12" s="4" t="str">
        <f>TEXT(Table13[[#This Row],[Order Date]],"mmmm")</f>
        <v>January</v>
      </c>
      <c r="D12" s="4" t="str">
        <f>TEXT(Table13[[#This Row],[Order Date]],"dddd")</f>
        <v>Thursday</v>
      </c>
      <c r="E12" t="s">
        <v>261</v>
      </c>
      <c r="F12" t="s">
        <v>319</v>
      </c>
      <c r="G12" t="s">
        <v>328</v>
      </c>
      <c r="H12">
        <v>6</v>
      </c>
      <c r="I12" s="8">
        <v>5000</v>
      </c>
      <c r="J12" s="10">
        <f>Table13[[#This Row],[Unit Price]]*Table13[[#This Row],[Quantity]]</f>
        <v>30000</v>
      </c>
      <c r="K12" s="6">
        <v>0.1</v>
      </c>
      <c r="L12" s="10">
        <f>Table13[[#This Row],[Gross Sales]]*Table13[[#This Row],[Discount]]</f>
        <v>3000</v>
      </c>
      <c r="M12" s="10">
        <f>Table13[[#This Row],[Gross Sales]]-Table13[[#This Row],[Discount Amount]]</f>
        <v>27000</v>
      </c>
      <c r="N12" s="8">
        <v>4000</v>
      </c>
      <c r="O12" s="8">
        <f>Table13[[#This Row],[Unit Cost]]*Table13[[#This Row],[Quantity]]</f>
        <v>24000</v>
      </c>
      <c r="P12" s="8">
        <f>Table13[[#This Row],[Total Sales]]-Table13[[#This Row],[Total Cost]]</f>
        <v>3000</v>
      </c>
      <c r="Q12" s="12">
        <f>Table13[[#This Row],[Profit]]/Table13[[#This Row],[Total Sales]]</f>
        <v>0.1111111111111111</v>
      </c>
      <c r="R12" t="s">
        <v>334</v>
      </c>
      <c r="S12" t="s">
        <v>336</v>
      </c>
    </row>
    <row r="13" spans="1:19" x14ac:dyDescent="0.25">
      <c r="A13" t="s">
        <v>22</v>
      </c>
      <c r="B13" s="14">
        <v>45674</v>
      </c>
      <c r="C13" s="4" t="str">
        <f>TEXT(Table13[[#This Row],[Order Date]],"mmmm")</f>
        <v>January</v>
      </c>
      <c r="D13" s="4" t="str">
        <f>TEXT(Table13[[#This Row],[Order Date]],"dddd")</f>
        <v>Friday</v>
      </c>
      <c r="E13" t="s">
        <v>262</v>
      </c>
      <c r="F13" t="s">
        <v>318</v>
      </c>
      <c r="G13" t="s">
        <v>329</v>
      </c>
      <c r="H13">
        <v>3</v>
      </c>
      <c r="I13" s="8">
        <v>1200</v>
      </c>
      <c r="J13" s="10">
        <f>Table13[[#This Row],[Unit Price]]*Table13[[#This Row],[Quantity]]</f>
        <v>3600</v>
      </c>
      <c r="K13" s="6">
        <v>0.1</v>
      </c>
      <c r="L13" s="10">
        <f>Table13[[#This Row],[Gross Sales]]*Table13[[#This Row],[Discount]]</f>
        <v>360</v>
      </c>
      <c r="M13" s="10">
        <f>Table13[[#This Row],[Gross Sales]]-Table13[[#This Row],[Discount Amount]]</f>
        <v>3240</v>
      </c>
      <c r="N13" s="8">
        <v>900</v>
      </c>
      <c r="O13" s="8">
        <f>Table13[[#This Row],[Unit Cost]]*Table13[[#This Row],[Quantity]]</f>
        <v>2700</v>
      </c>
      <c r="P13" s="8">
        <f>Table13[[#This Row],[Total Sales]]-Table13[[#This Row],[Total Cost]]</f>
        <v>540</v>
      </c>
      <c r="Q13" s="12">
        <f>Table13[[#This Row],[Profit]]/Table13[[#This Row],[Total Sales]]</f>
        <v>0.16666666666666666</v>
      </c>
      <c r="R13" t="s">
        <v>334</v>
      </c>
      <c r="S13" t="s">
        <v>339</v>
      </c>
    </row>
    <row r="14" spans="1:19" x14ac:dyDescent="0.25">
      <c r="A14" t="s">
        <v>23</v>
      </c>
      <c r="B14" s="14">
        <v>45676</v>
      </c>
      <c r="C14" s="4" t="str">
        <f>TEXT(Table13[[#This Row],[Order Date]],"mmmm")</f>
        <v>January</v>
      </c>
      <c r="D14" s="4" t="str">
        <f>TEXT(Table13[[#This Row],[Order Date]],"dddd")</f>
        <v>Sunday</v>
      </c>
      <c r="E14" t="s">
        <v>263</v>
      </c>
      <c r="F14" t="s">
        <v>319</v>
      </c>
      <c r="G14" t="s">
        <v>327</v>
      </c>
      <c r="H14">
        <v>7</v>
      </c>
      <c r="I14" s="8">
        <v>7500</v>
      </c>
      <c r="J14" s="10">
        <f>Table13[[#This Row],[Unit Price]]*Table13[[#This Row],[Quantity]]</f>
        <v>52500</v>
      </c>
      <c r="K14" s="6">
        <v>0.1</v>
      </c>
      <c r="L14" s="10">
        <f>Table13[[#This Row],[Gross Sales]]*Table13[[#This Row],[Discount]]</f>
        <v>5250</v>
      </c>
      <c r="M14" s="10">
        <f>Table13[[#This Row],[Gross Sales]]-Table13[[#This Row],[Discount Amount]]</f>
        <v>47250</v>
      </c>
      <c r="N14" s="8">
        <v>6300</v>
      </c>
      <c r="O14" s="8">
        <f>Table13[[#This Row],[Unit Cost]]*Table13[[#This Row],[Quantity]]</f>
        <v>44100</v>
      </c>
      <c r="P14" s="8">
        <f>Table13[[#This Row],[Total Sales]]-Table13[[#This Row],[Total Cost]]</f>
        <v>3150</v>
      </c>
      <c r="Q14" s="12">
        <f>Table13[[#This Row],[Profit]]/Table13[[#This Row],[Total Sales]]</f>
        <v>6.6666666666666666E-2</v>
      </c>
      <c r="R14" t="s">
        <v>332</v>
      </c>
      <c r="S14" t="s">
        <v>336</v>
      </c>
    </row>
    <row r="15" spans="1:19" x14ac:dyDescent="0.25">
      <c r="A15" t="s">
        <v>24</v>
      </c>
      <c r="B15" s="14">
        <v>45677</v>
      </c>
      <c r="C15" s="4" t="str">
        <f>TEXT(Table13[[#This Row],[Order Date]],"mmmm")</f>
        <v>January</v>
      </c>
      <c r="D15" s="4" t="str">
        <f>TEXT(Table13[[#This Row],[Order Date]],"dddd")</f>
        <v>Monday</v>
      </c>
      <c r="E15" t="s">
        <v>264</v>
      </c>
      <c r="F15" t="s">
        <v>319</v>
      </c>
      <c r="G15" t="s">
        <v>328</v>
      </c>
      <c r="H15">
        <v>6</v>
      </c>
      <c r="I15" s="8">
        <v>5000</v>
      </c>
      <c r="J15" s="10">
        <f>Table13[[#This Row],[Unit Price]]*Table13[[#This Row],[Quantity]]</f>
        <v>30000</v>
      </c>
      <c r="K15" s="6">
        <v>0</v>
      </c>
      <c r="L15" s="10">
        <f>Table13[[#This Row],[Gross Sales]]*Table13[[#This Row],[Discount]]</f>
        <v>0</v>
      </c>
      <c r="M15" s="10">
        <f>Table13[[#This Row],[Gross Sales]]-Table13[[#This Row],[Discount Amount]]</f>
        <v>30000</v>
      </c>
      <c r="N15" s="8">
        <v>4000</v>
      </c>
      <c r="O15" s="8">
        <f>Table13[[#This Row],[Unit Cost]]*Table13[[#This Row],[Quantity]]</f>
        <v>24000</v>
      </c>
      <c r="P15" s="8">
        <f>Table13[[#This Row],[Total Sales]]-Table13[[#This Row],[Total Cost]]</f>
        <v>6000</v>
      </c>
      <c r="Q15" s="12">
        <f>Table13[[#This Row],[Profit]]/Table13[[#This Row],[Total Sales]]</f>
        <v>0.2</v>
      </c>
      <c r="R15" t="s">
        <v>332</v>
      </c>
      <c r="S15" t="s">
        <v>336</v>
      </c>
    </row>
    <row r="16" spans="1:19" x14ac:dyDescent="0.25">
      <c r="A16" t="s">
        <v>25</v>
      </c>
      <c r="B16" s="14">
        <v>45679</v>
      </c>
      <c r="C16" s="4" t="str">
        <f>TEXT(Table13[[#This Row],[Order Date]],"mmmm")</f>
        <v>January</v>
      </c>
      <c r="D16" s="4" t="str">
        <f>TEXT(Table13[[#This Row],[Order Date]],"dddd")</f>
        <v>Wednesday</v>
      </c>
      <c r="E16" t="s">
        <v>265</v>
      </c>
      <c r="F16" t="s">
        <v>315</v>
      </c>
      <c r="G16" t="s">
        <v>324</v>
      </c>
      <c r="H16">
        <v>2</v>
      </c>
      <c r="I16" s="8">
        <v>9000</v>
      </c>
      <c r="J16" s="10">
        <f>Table13[[#This Row],[Unit Price]]*Table13[[#This Row],[Quantity]]</f>
        <v>18000</v>
      </c>
      <c r="K16" s="6">
        <v>0</v>
      </c>
      <c r="L16" s="10">
        <f>Table13[[#This Row],[Gross Sales]]*Table13[[#This Row],[Discount]]</f>
        <v>0</v>
      </c>
      <c r="M16" s="10">
        <f>Table13[[#This Row],[Gross Sales]]-Table13[[#This Row],[Discount Amount]]</f>
        <v>18000</v>
      </c>
      <c r="N16" s="8">
        <v>7600</v>
      </c>
      <c r="O16" s="8">
        <f>Table13[[#This Row],[Unit Cost]]*Table13[[#This Row],[Quantity]]</f>
        <v>15200</v>
      </c>
      <c r="P16" s="8">
        <f>Table13[[#This Row],[Total Sales]]-Table13[[#This Row],[Total Cost]]</f>
        <v>2800</v>
      </c>
      <c r="Q16" s="12">
        <f>Table13[[#This Row],[Profit]]/Table13[[#This Row],[Total Sales]]</f>
        <v>0.15555555555555556</v>
      </c>
      <c r="R16" t="s">
        <v>330</v>
      </c>
      <c r="S16" t="s">
        <v>336</v>
      </c>
    </row>
    <row r="17" spans="1:19" x14ac:dyDescent="0.25">
      <c r="A17" t="s">
        <v>26</v>
      </c>
      <c r="B17" s="14">
        <v>45680</v>
      </c>
      <c r="C17" s="4" t="str">
        <f>TEXT(Table13[[#This Row],[Order Date]],"mmmm")</f>
        <v>January</v>
      </c>
      <c r="D17" s="4" t="str">
        <f>TEXT(Table13[[#This Row],[Order Date]],"dddd")</f>
        <v>Thursday</v>
      </c>
      <c r="E17" t="s">
        <v>266</v>
      </c>
      <c r="F17" t="s">
        <v>315</v>
      </c>
      <c r="G17" t="s">
        <v>325</v>
      </c>
      <c r="H17">
        <v>5</v>
      </c>
      <c r="I17" s="8">
        <v>8500</v>
      </c>
      <c r="J17" s="10">
        <f>Table13[[#This Row],[Unit Price]]*Table13[[#This Row],[Quantity]]</f>
        <v>42500</v>
      </c>
      <c r="K17" s="6">
        <v>0.1</v>
      </c>
      <c r="L17" s="10">
        <f>Table13[[#This Row],[Gross Sales]]*Table13[[#This Row],[Discount]]</f>
        <v>4250</v>
      </c>
      <c r="M17" s="10">
        <f>Table13[[#This Row],[Gross Sales]]-Table13[[#This Row],[Discount Amount]]</f>
        <v>38250</v>
      </c>
      <c r="N17" s="8">
        <v>7000</v>
      </c>
      <c r="O17" s="8">
        <f>Table13[[#This Row],[Unit Cost]]*Table13[[#This Row],[Quantity]]</f>
        <v>35000</v>
      </c>
      <c r="P17" s="8">
        <f>Table13[[#This Row],[Total Sales]]-Table13[[#This Row],[Total Cost]]</f>
        <v>3250</v>
      </c>
      <c r="Q17" s="12">
        <f>Table13[[#This Row],[Profit]]/Table13[[#This Row],[Total Sales]]</f>
        <v>8.4967320261437912E-2</v>
      </c>
      <c r="R17" t="s">
        <v>344</v>
      </c>
      <c r="S17" t="s">
        <v>336</v>
      </c>
    </row>
    <row r="18" spans="1:19" x14ac:dyDescent="0.25">
      <c r="A18" t="s">
        <v>27</v>
      </c>
      <c r="B18" s="14">
        <v>45682</v>
      </c>
      <c r="C18" s="4" t="str">
        <f>TEXT(Table13[[#This Row],[Order Date]],"mmmm")</f>
        <v>January</v>
      </c>
      <c r="D18" s="4" t="str">
        <f>TEXT(Table13[[#This Row],[Order Date]],"dddd")</f>
        <v>Saturday</v>
      </c>
      <c r="E18" t="s">
        <v>261</v>
      </c>
      <c r="F18" t="s">
        <v>315</v>
      </c>
      <c r="G18" t="s">
        <v>329</v>
      </c>
      <c r="H18">
        <v>6</v>
      </c>
      <c r="I18" s="8">
        <v>1200</v>
      </c>
      <c r="J18" s="10">
        <f>Table13[[#This Row],[Unit Price]]*Table13[[#This Row],[Quantity]]</f>
        <v>7200</v>
      </c>
      <c r="K18" s="6">
        <v>0</v>
      </c>
      <c r="L18" s="10">
        <f>Table13[[#This Row],[Gross Sales]]*Table13[[#This Row],[Discount]]</f>
        <v>0</v>
      </c>
      <c r="M18" s="10">
        <f>Table13[[#This Row],[Gross Sales]]-Table13[[#This Row],[Discount Amount]]</f>
        <v>7200</v>
      </c>
      <c r="N18" s="8">
        <v>900</v>
      </c>
      <c r="O18" s="8">
        <f>Table13[[#This Row],[Unit Cost]]*Table13[[#This Row],[Quantity]]</f>
        <v>5400</v>
      </c>
      <c r="P18" s="8">
        <f>Table13[[#This Row],[Total Sales]]-Table13[[#This Row],[Total Cost]]</f>
        <v>1800</v>
      </c>
      <c r="Q18" s="12">
        <f>Table13[[#This Row],[Profit]]/Table13[[#This Row],[Total Sales]]</f>
        <v>0.25</v>
      </c>
      <c r="R18" t="s">
        <v>334</v>
      </c>
      <c r="S18" t="s">
        <v>336</v>
      </c>
    </row>
    <row r="19" spans="1:19" x14ac:dyDescent="0.25">
      <c r="A19" t="s">
        <v>28</v>
      </c>
      <c r="B19" s="14">
        <v>45683</v>
      </c>
      <c r="C19" s="4" t="str">
        <f>TEXT(Table13[[#This Row],[Order Date]],"mmmm")</f>
        <v>January</v>
      </c>
      <c r="D19" s="4" t="str">
        <f>TEXT(Table13[[#This Row],[Order Date]],"dddd")</f>
        <v>Sunday</v>
      </c>
      <c r="E19" t="s">
        <v>267</v>
      </c>
      <c r="F19" t="s">
        <v>315</v>
      </c>
      <c r="G19" t="s">
        <v>329</v>
      </c>
      <c r="H19">
        <v>3</v>
      </c>
      <c r="I19" s="8">
        <v>1200</v>
      </c>
      <c r="J19" s="10">
        <f>Table13[[#This Row],[Unit Price]]*Table13[[#This Row],[Quantity]]</f>
        <v>3600</v>
      </c>
      <c r="K19" s="6">
        <v>0</v>
      </c>
      <c r="L19" s="10">
        <f>Table13[[#This Row],[Gross Sales]]*Table13[[#This Row],[Discount]]</f>
        <v>0</v>
      </c>
      <c r="M19" s="10">
        <f>Table13[[#This Row],[Gross Sales]]-Table13[[#This Row],[Discount Amount]]</f>
        <v>3600</v>
      </c>
      <c r="N19" s="8">
        <v>900</v>
      </c>
      <c r="O19" s="8">
        <f>Table13[[#This Row],[Unit Cost]]*Table13[[#This Row],[Quantity]]</f>
        <v>2700</v>
      </c>
      <c r="P19" s="8">
        <f>Table13[[#This Row],[Total Sales]]-Table13[[#This Row],[Total Cost]]</f>
        <v>900</v>
      </c>
      <c r="Q19" s="12">
        <f>Table13[[#This Row],[Profit]]/Table13[[#This Row],[Total Sales]]</f>
        <v>0.25</v>
      </c>
      <c r="R19" t="s">
        <v>330</v>
      </c>
      <c r="S19" t="s">
        <v>336</v>
      </c>
    </row>
    <row r="20" spans="1:19" x14ac:dyDescent="0.25">
      <c r="A20" t="s">
        <v>29</v>
      </c>
      <c r="B20" s="14">
        <v>45685</v>
      </c>
      <c r="C20" s="4" t="str">
        <f>TEXT(Table13[[#This Row],[Order Date]],"mmmm")</f>
        <v>January</v>
      </c>
      <c r="D20" s="4" t="str">
        <f>TEXT(Table13[[#This Row],[Order Date]],"dddd")</f>
        <v>Tuesday</v>
      </c>
      <c r="E20" t="s">
        <v>268</v>
      </c>
      <c r="F20" t="s">
        <v>315</v>
      </c>
      <c r="G20" t="s">
        <v>327</v>
      </c>
      <c r="H20">
        <v>6</v>
      </c>
      <c r="I20" s="8">
        <v>7500</v>
      </c>
      <c r="J20" s="10">
        <f>Table13[[#This Row],[Unit Price]]*Table13[[#This Row],[Quantity]]</f>
        <v>45000</v>
      </c>
      <c r="K20" s="6">
        <v>0.05</v>
      </c>
      <c r="L20" s="10">
        <f>Table13[[#This Row],[Gross Sales]]*Table13[[#This Row],[Discount]]</f>
        <v>2250</v>
      </c>
      <c r="M20" s="10">
        <f>Table13[[#This Row],[Gross Sales]]-Table13[[#This Row],[Discount Amount]]</f>
        <v>42750</v>
      </c>
      <c r="N20" s="8">
        <v>6300</v>
      </c>
      <c r="O20" s="8">
        <f>Table13[[#This Row],[Unit Cost]]*Table13[[#This Row],[Quantity]]</f>
        <v>37800</v>
      </c>
      <c r="P20" s="8">
        <f>Table13[[#This Row],[Total Sales]]-Table13[[#This Row],[Total Cost]]</f>
        <v>4950</v>
      </c>
      <c r="Q20" s="12">
        <f>Table13[[#This Row],[Profit]]/Table13[[#This Row],[Total Sales]]</f>
        <v>0.11578947368421053</v>
      </c>
      <c r="R20" t="s">
        <v>334</v>
      </c>
      <c r="S20" t="s">
        <v>337</v>
      </c>
    </row>
    <row r="21" spans="1:19" x14ac:dyDescent="0.25">
      <c r="A21" t="s">
        <v>30</v>
      </c>
      <c r="B21" s="14">
        <v>45686</v>
      </c>
      <c r="C21" s="4" t="str">
        <f>TEXT(Table13[[#This Row],[Order Date]],"mmmm")</f>
        <v>January</v>
      </c>
      <c r="D21" s="4" t="str">
        <f>TEXT(Table13[[#This Row],[Order Date]],"dddd")</f>
        <v>Wednesday</v>
      </c>
      <c r="E21" t="s">
        <v>254</v>
      </c>
      <c r="F21" t="s">
        <v>315</v>
      </c>
      <c r="G21" t="s">
        <v>328</v>
      </c>
      <c r="H21">
        <v>7</v>
      </c>
      <c r="I21" s="8">
        <v>5000</v>
      </c>
      <c r="J21" s="10">
        <f>Table13[[#This Row],[Unit Price]]*Table13[[#This Row],[Quantity]]</f>
        <v>35000</v>
      </c>
      <c r="K21" s="6">
        <v>0.1</v>
      </c>
      <c r="L21" s="10">
        <f>Table13[[#This Row],[Gross Sales]]*Table13[[#This Row],[Discount]]</f>
        <v>3500</v>
      </c>
      <c r="M21" s="10">
        <f>Table13[[#This Row],[Gross Sales]]-Table13[[#This Row],[Discount Amount]]</f>
        <v>31500</v>
      </c>
      <c r="N21" s="8">
        <v>4000</v>
      </c>
      <c r="O21" s="8">
        <f>Table13[[#This Row],[Unit Cost]]*Table13[[#This Row],[Quantity]]</f>
        <v>28000</v>
      </c>
      <c r="P21" s="8">
        <f>Table13[[#This Row],[Total Sales]]-Table13[[#This Row],[Total Cost]]</f>
        <v>3500</v>
      </c>
      <c r="Q21" s="12">
        <f>Table13[[#This Row],[Profit]]/Table13[[#This Row],[Total Sales]]</f>
        <v>0.1111111111111111</v>
      </c>
      <c r="R21" t="s">
        <v>344</v>
      </c>
      <c r="S21" t="s">
        <v>337</v>
      </c>
    </row>
    <row r="22" spans="1:19" x14ac:dyDescent="0.25">
      <c r="A22" t="s">
        <v>31</v>
      </c>
      <c r="B22" s="14">
        <v>45688</v>
      </c>
      <c r="C22" s="4" t="str">
        <f>TEXT(Table13[[#This Row],[Order Date]],"mmmm")</f>
        <v>January</v>
      </c>
      <c r="D22" s="4" t="str">
        <f>TEXT(Table13[[#This Row],[Order Date]],"dddd")</f>
        <v>Friday</v>
      </c>
      <c r="E22" t="s">
        <v>269</v>
      </c>
      <c r="F22" t="s">
        <v>315</v>
      </c>
      <c r="G22" t="s">
        <v>325</v>
      </c>
      <c r="H22">
        <v>6</v>
      </c>
      <c r="I22" s="8">
        <v>8500</v>
      </c>
      <c r="J22" s="10">
        <f>Table13[[#This Row],[Unit Price]]*Table13[[#This Row],[Quantity]]</f>
        <v>51000</v>
      </c>
      <c r="K22" s="6">
        <v>0.1</v>
      </c>
      <c r="L22" s="10">
        <f>Table13[[#This Row],[Gross Sales]]*Table13[[#This Row],[Discount]]</f>
        <v>5100</v>
      </c>
      <c r="M22" s="10">
        <f>Table13[[#This Row],[Gross Sales]]-Table13[[#This Row],[Discount Amount]]</f>
        <v>45900</v>
      </c>
      <c r="N22" s="8">
        <v>7000</v>
      </c>
      <c r="O22" s="8">
        <f>Table13[[#This Row],[Unit Cost]]*Table13[[#This Row],[Quantity]]</f>
        <v>42000</v>
      </c>
      <c r="P22" s="8">
        <f>Table13[[#This Row],[Total Sales]]-Table13[[#This Row],[Total Cost]]</f>
        <v>3900</v>
      </c>
      <c r="Q22" s="12">
        <f>Table13[[#This Row],[Profit]]/Table13[[#This Row],[Total Sales]]</f>
        <v>8.4967320261437912E-2</v>
      </c>
      <c r="R22" t="s">
        <v>334</v>
      </c>
      <c r="S22" t="s">
        <v>339</v>
      </c>
    </row>
    <row r="23" spans="1:19" x14ac:dyDescent="0.25">
      <c r="A23" t="s">
        <v>32</v>
      </c>
      <c r="B23" s="14">
        <v>45689</v>
      </c>
      <c r="C23" s="4" t="str">
        <f>TEXT(Table13[[#This Row],[Order Date]],"mmmm")</f>
        <v>February</v>
      </c>
      <c r="D23" s="4" t="str">
        <f>TEXT(Table13[[#This Row],[Order Date]],"dddd")</f>
        <v>Saturday</v>
      </c>
      <c r="E23" t="s">
        <v>270</v>
      </c>
      <c r="F23" t="s">
        <v>319</v>
      </c>
      <c r="G23" t="s">
        <v>324</v>
      </c>
      <c r="H23">
        <v>6</v>
      </c>
      <c r="I23" s="8">
        <v>9000</v>
      </c>
      <c r="J23" s="10">
        <f>Table13[[#This Row],[Unit Price]]*Table13[[#This Row],[Quantity]]</f>
        <v>54000</v>
      </c>
      <c r="K23" s="6">
        <v>0.1</v>
      </c>
      <c r="L23" s="10">
        <f>Table13[[#This Row],[Gross Sales]]*Table13[[#This Row],[Discount]]</f>
        <v>5400</v>
      </c>
      <c r="M23" s="10">
        <f>Table13[[#This Row],[Gross Sales]]-Table13[[#This Row],[Discount Amount]]</f>
        <v>48600</v>
      </c>
      <c r="N23" s="8">
        <v>7600</v>
      </c>
      <c r="O23" s="8">
        <f>Table13[[#This Row],[Unit Cost]]*Table13[[#This Row],[Quantity]]</f>
        <v>45600</v>
      </c>
      <c r="P23" s="8">
        <f>Table13[[#This Row],[Total Sales]]-Table13[[#This Row],[Total Cost]]</f>
        <v>3000</v>
      </c>
      <c r="Q23" s="12">
        <f>Table13[[#This Row],[Profit]]/Table13[[#This Row],[Total Sales]]</f>
        <v>6.1728395061728392E-2</v>
      </c>
      <c r="R23" t="s">
        <v>332</v>
      </c>
      <c r="S23" t="s">
        <v>339</v>
      </c>
    </row>
    <row r="24" spans="1:19" x14ac:dyDescent="0.25">
      <c r="A24" t="s">
        <v>33</v>
      </c>
      <c r="B24" s="14">
        <v>45691</v>
      </c>
      <c r="C24" s="4" t="str">
        <f>TEXT(Table13[[#This Row],[Order Date]],"mmmm")</f>
        <v>February</v>
      </c>
      <c r="D24" s="4" t="str">
        <f>TEXT(Table13[[#This Row],[Order Date]],"dddd")</f>
        <v>Monday</v>
      </c>
      <c r="E24" t="s">
        <v>271</v>
      </c>
      <c r="F24" t="s">
        <v>319</v>
      </c>
      <c r="G24" t="s">
        <v>324</v>
      </c>
      <c r="H24">
        <v>5</v>
      </c>
      <c r="I24" s="8">
        <v>9000</v>
      </c>
      <c r="J24" s="10">
        <f>Table13[[#This Row],[Unit Price]]*Table13[[#This Row],[Quantity]]</f>
        <v>45000</v>
      </c>
      <c r="K24" s="6">
        <v>0</v>
      </c>
      <c r="L24" s="10">
        <f>Table13[[#This Row],[Gross Sales]]*Table13[[#This Row],[Discount]]</f>
        <v>0</v>
      </c>
      <c r="M24" s="10">
        <f>Table13[[#This Row],[Gross Sales]]-Table13[[#This Row],[Discount Amount]]</f>
        <v>45000</v>
      </c>
      <c r="N24" s="8">
        <v>7600</v>
      </c>
      <c r="O24" s="8">
        <f>Table13[[#This Row],[Unit Cost]]*Table13[[#This Row],[Quantity]]</f>
        <v>38000</v>
      </c>
      <c r="P24" s="8">
        <f>Table13[[#This Row],[Total Sales]]-Table13[[#This Row],[Total Cost]]</f>
        <v>7000</v>
      </c>
      <c r="Q24" s="12">
        <f>Table13[[#This Row],[Profit]]/Table13[[#This Row],[Total Sales]]</f>
        <v>0.15555555555555556</v>
      </c>
      <c r="R24" t="s">
        <v>334</v>
      </c>
      <c r="S24" t="s">
        <v>337</v>
      </c>
    </row>
    <row r="25" spans="1:19" x14ac:dyDescent="0.25">
      <c r="A25" t="s">
        <v>34</v>
      </c>
      <c r="B25" s="14">
        <v>45692</v>
      </c>
      <c r="C25" s="4" t="str">
        <f>TEXT(Table13[[#This Row],[Order Date]],"mmmm")</f>
        <v>February</v>
      </c>
      <c r="D25" s="4" t="str">
        <f>TEXT(Table13[[#This Row],[Order Date]],"dddd")</f>
        <v>Tuesday</v>
      </c>
      <c r="E25" t="s">
        <v>272</v>
      </c>
      <c r="F25" t="s">
        <v>321</v>
      </c>
      <c r="G25" t="s">
        <v>324</v>
      </c>
      <c r="H25">
        <v>2</v>
      </c>
      <c r="I25" s="8">
        <v>9000</v>
      </c>
      <c r="J25" s="10">
        <f>Table13[[#This Row],[Unit Price]]*Table13[[#This Row],[Quantity]]</f>
        <v>18000</v>
      </c>
      <c r="K25" s="6">
        <v>0.05</v>
      </c>
      <c r="L25" s="10">
        <f>Table13[[#This Row],[Gross Sales]]*Table13[[#This Row],[Discount]]</f>
        <v>900</v>
      </c>
      <c r="M25" s="10">
        <f>Table13[[#This Row],[Gross Sales]]-Table13[[#This Row],[Discount Amount]]</f>
        <v>17100</v>
      </c>
      <c r="N25" s="8">
        <v>7600</v>
      </c>
      <c r="O25" s="8">
        <f>Table13[[#This Row],[Unit Cost]]*Table13[[#This Row],[Quantity]]</f>
        <v>15200</v>
      </c>
      <c r="P25" s="8">
        <f>Table13[[#This Row],[Total Sales]]-Table13[[#This Row],[Total Cost]]</f>
        <v>1900</v>
      </c>
      <c r="Q25" s="12">
        <f>Table13[[#This Row],[Profit]]/Table13[[#This Row],[Total Sales]]</f>
        <v>0.1111111111111111</v>
      </c>
      <c r="R25" t="s">
        <v>334</v>
      </c>
      <c r="S25" t="s">
        <v>339</v>
      </c>
    </row>
    <row r="26" spans="1:19" x14ac:dyDescent="0.25">
      <c r="A26" t="s">
        <v>35</v>
      </c>
      <c r="B26" s="14">
        <v>45694</v>
      </c>
      <c r="C26" s="4" t="str">
        <f>TEXT(Table13[[#This Row],[Order Date]],"mmmm")</f>
        <v>February</v>
      </c>
      <c r="D26" s="4" t="str">
        <f>TEXT(Table13[[#This Row],[Order Date]],"dddd")</f>
        <v>Thursday</v>
      </c>
      <c r="E26" t="s">
        <v>273</v>
      </c>
      <c r="F26" t="s">
        <v>321</v>
      </c>
      <c r="G26" t="s">
        <v>325</v>
      </c>
      <c r="H26">
        <v>6</v>
      </c>
      <c r="I26" s="8">
        <v>8500</v>
      </c>
      <c r="J26" s="10">
        <f>Table13[[#This Row],[Unit Price]]*Table13[[#This Row],[Quantity]]</f>
        <v>51000</v>
      </c>
      <c r="K26" s="6">
        <v>0.1</v>
      </c>
      <c r="L26" s="10">
        <f>Table13[[#This Row],[Gross Sales]]*Table13[[#This Row],[Discount]]</f>
        <v>5100</v>
      </c>
      <c r="M26" s="10">
        <f>Table13[[#This Row],[Gross Sales]]-Table13[[#This Row],[Discount Amount]]</f>
        <v>45900</v>
      </c>
      <c r="N26" s="8">
        <v>7000</v>
      </c>
      <c r="O26" s="8">
        <f>Table13[[#This Row],[Unit Cost]]*Table13[[#This Row],[Quantity]]</f>
        <v>42000</v>
      </c>
      <c r="P26" s="8">
        <f>Table13[[#This Row],[Total Sales]]-Table13[[#This Row],[Total Cost]]</f>
        <v>3900</v>
      </c>
      <c r="Q26" s="12">
        <f>Table13[[#This Row],[Profit]]/Table13[[#This Row],[Total Sales]]</f>
        <v>8.4967320261437912E-2</v>
      </c>
      <c r="R26" t="s">
        <v>330</v>
      </c>
      <c r="S26" t="s">
        <v>336</v>
      </c>
    </row>
    <row r="27" spans="1:19" x14ac:dyDescent="0.25">
      <c r="A27" t="s">
        <v>36</v>
      </c>
      <c r="B27" s="14">
        <v>45695</v>
      </c>
      <c r="C27" s="4" t="str">
        <f>TEXT(Table13[[#This Row],[Order Date]],"mmmm")</f>
        <v>February</v>
      </c>
      <c r="D27" s="4" t="str">
        <f>TEXT(Table13[[#This Row],[Order Date]],"dddd")</f>
        <v>Friday</v>
      </c>
      <c r="E27" t="s">
        <v>274</v>
      </c>
      <c r="F27" t="s">
        <v>315</v>
      </c>
      <c r="G27" t="s">
        <v>325</v>
      </c>
      <c r="H27">
        <v>3</v>
      </c>
      <c r="I27" s="8">
        <v>8500</v>
      </c>
      <c r="J27" s="10">
        <f>Table13[[#This Row],[Unit Price]]*Table13[[#This Row],[Quantity]]</f>
        <v>25500</v>
      </c>
      <c r="K27" s="6">
        <v>0.05</v>
      </c>
      <c r="L27" s="10">
        <f>Table13[[#This Row],[Gross Sales]]*Table13[[#This Row],[Discount]]</f>
        <v>1275</v>
      </c>
      <c r="M27" s="10">
        <f>Table13[[#This Row],[Gross Sales]]-Table13[[#This Row],[Discount Amount]]</f>
        <v>24225</v>
      </c>
      <c r="N27" s="8">
        <v>7000</v>
      </c>
      <c r="O27" s="8">
        <f>Table13[[#This Row],[Unit Cost]]*Table13[[#This Row],[Quantity]]</f>
        <v>21000</v>
      </c>
      <c r="P27" s="8">
        <f>Table13[[#This Row],[Total Sales]]-Table13[[#This Row],[Total Cost]]</f>
        <v>3225</v>
      </c>
      <c r="Q27" s="12">
        <f>Table13[[#This Row],[Profit]]/Table13[[#This Row],[Total Sales]]</f>
        <v>0.13312693498452013</v>
      </c>
      <c r="R27" t="s">
        <v>344</v>
      </c>
      <c r="S27" t="s">
        <v>336</v>
      </c>
    </row>
    <row r="28" spans="1:19" x14ac:dyDescent="0.25">
      <c r="A28" t="s">
        <v>37</v>
      </c>
      <c r="B28" s="14">
        <v>45697</v>
      </c>
      <c r="C28" s="4" t="str">
        <f>TEXT(Table13[[#This Row],[Order Date]],"mmmm")</f>
        <v>February</v>
      </c>
      <c r="D28" s="4" t="str">
        <f>TEXT(Table13[[#This Row],[Order Date]],"dddd")</f>
        <v>Sunday</v>
      </c>
      <c r="E28" t="s">
        <v>275</v>
      </c>
      <c r="F28" t="s">
        <v>318</v>
      </c>
      <c r="G28" t="s">
        <v>325</v>
      </c>
      <c r="H28">
        <v>4</v>
      </c>
      <c r="I28" s="8">
        <v>8500</v>
      </c>
      <c r="J28" s="10">
        <f>Table13[[#This Row],[Unit Price]]*Table13[[#This Row],[Quantity]]</f>
        <v>34000</v>
      </c>
      <c r="K28" s="6">
        <v>0.1</v>
      </c>
      <c r="L28" s="10">
        <f>Table13[[#This Row],[Gross Sales]]*Table13[[#This Row],[Discount]]</f>
        <v>3400</v>
      </c>
      <c r="M28" s="10">
        <f>Table13[[#This Row],[Gross Sales]]-Table13[[#This Row],[Discount Amount]]</f>
        <v>30600</v>
      </c>
      <c r="N28" s="8">
        <v>7000</v>
      </c>
      <c r="O28" s="8">
        <f>Table13[[#This Row],[Unit Cost]]*Table13[[#This Row],[Quantity]]</f>
        <v>28000</v>
      </c>
      <c r="P28" s="8">
        <f>Table13[[#This Row],[Total Sales]]-Table13[[#This Row],[Total Cost]]</f>
        <v>2600</v>
      </c>
      <c r="Q28" s="12">
        <f>Table13[[#This Row],[Profit]]/Table13[[#This Row],[Total Sales]]</f>
        <v>8.4967320261437912E-2</v>
      </c>
      <c r="R28" t="s">
        <v>344</v>
      </c>
      <c r="S28" t="s">
        <v>336</v>
      </c>
    </row>
    <row r="29" spans="1:19" x14ac:dyDescent="0.25">
      <c r="A29" t="s">
        <v>38</v>
      </c>
      <c r="B29" s="14">
        <v>45698</v>
      </c>
      <c r="C29" s="4" t="str">
        <f>TEXT(Table13[[#This Row],[Order Date]],"mmmm")</f>
        <v>February</v>
      </c>
      <c r="D29" s="4" t="str">
        <f>TEXT(Table13[[#This Row],[Order Date]],"dddd")</f>
        <v>Monday</v>
      </c>
      <c r="E29" t="s">
        <v>276</v>
      </c>
      <c r="F29" t="s">
        <v>318</v>
      </c>
      <c r="G29" t="s">
        <v>325</v>
      </c>
      <c r="H29">
        <v>3</v>
      </c>
      <c r="I29" s="8">
        <v>8500</v>
      </c>
      <c r="J29" s="10">
        <f>Table13[[#This Row],[Unit Price]]*Table13[[#This Row],[Quantity]]</f>
        <v>25500</v>
      </c>
      <c r="K29" s="6">
        <v>0.1</v>
      </c>
      <c r="L29" s="10">
        <f>Table13[[#This Row],[Gross Sales]]*Table13[[#This Row],[Discount]]</f>
        <v>2550</v>
      </c>
      <c r="M29" s="10">
        <f>Table13[[#This Row],[Gross Sales]]-Table13[[#This Row],[Discount Amount]]</f>
        <v>22950</v>
      </c>
      <c r="N29" s="8">
        <v>7000</v>
      </c>
      <c r="O29" s="8">
        <f>Table13[[#This Row],[Unit Cost]]*Table13[[#This Row],[Quantity]]</f>
        <v>21000</v>
      </c>
      <c r="P29" s="8">
        <f>Table13[[#This Row],[Total Sales]]-Table13[[#This Row],[Total Cost]]</f>
        <v>1950</v>
      </c>
      <c r="Q29" s="12">
        <f>Table13[[#This Row],[Profit]]/Table13[[#This Row],[Total Sales]]</f>
        <v>8.4967320261437912E-2</v>
      </c>
      <c r="R29" t="s">
        <v>330</v>
      </c>
      <c r="S29" t="s">
        <v>336</v>
      </c>
    </row>
    <row r="30" spans="1:19" x14ac:dyDescent="0.25">
      <c r="A30" t="s">
        <v>39</v>
      </c>
      <c r="B30" s="14">
        <v>45700</v>
      </c>
      <c r="C30" s="4" t="str">
        <f>TEXT(Table13[[#This Row],[Order Date]],"mmmm")</f>
        <v>February</v>
      </c>
      <c r="D30" s="4" t="str">
        <f>TEXT(Table13[[#This Row],[Order Date]],"dddd")</f>
        <v>Wednesday</v>
      </c>
      <c r="E30" t="s">
        <v>277</v>
      </c>
      <c r="F30" t="s">
        <v>315</v>
      </c>
      <c r="G30" t="s">
        <v>324</v>
      </c>
      <c r="H30">
        <v>3</v>
      </c>
      <c r="I30" s="8">
        <v>9000</v>
      </c>
      <c r="J30" s="10">
        <f>Table13[[#This Row],[Unit Price]]*Table13[[#This Row],[Quantity]]</f>
        <v>27000</v>
      </c>
      <c r="K30" s="6">
        <v>0</v>
      </c>
      <c r="L30" s="10">
        <f>Table13[[#This Row],[Gross Sales]]*Table13[[#This Row],[Discount]]</f>
        <v>0</v>
      </c>
      <c r="M30" s="10">
        <f>Table13[[#This Row],[Gross Sales]]-Table13[[#This Row],[Discount Amount]]</f>
        <v>27000</v>
      </c>
      <c r="N30" s="8">
        <v>7600</v>
      </c>
      <c r="O30" s="8">
        <f>Table13[[#This Row],[Unit Cost]]*Table13[[#This Row],[Quantity]]</f>
        <v>22800</v>
      </c>
      <c r="P30" s="8">
        <f>Table13[[#This Row],[Total Sales]]-Table13[[#This Row],[Total Cost]]</f>
        <v>4200</v>
      </c>
      <c r="Q30" s="12">
        <f>Table13[[#This Row],[Profit]]/Table13[[#This Row],[Total Sales]]</f>
        <v>0.15555555555555556</v>
      </c>
      <c r="R30" t="s">
        <v>330</v>
      </c>
      <c r="S30" t="s">
        <v>339</v>
      </c>
    </row>
    <row r="31" spans="1:19" x14ac:dyDescent="0.25">
      <c r="A31" t="s">
        <v>40</v>
      </c>
      <c r="B31" s="14">
        <v>45701</v>
      </c>
      <c r="C31" s="4" t="str">
        <f>TEXT(Table13[[#This Row],[Order Date]],"mmmm")</f>
        <v>February</v>
      </c>
      <c r="D31" s="4" t="str">
        <f>TEXT(Table13[[#This Row],[Order Date]],"dddd")</f>
        <v>Thursday</v>
      </c>
      <c r="E31" t="s">
        <v>275</v>
      </c>
      <c r="F31" t="s">
        <v>315</v>
      </c>
      <c r="G31" t="s">
        <v>324</v>
      </c>
      <c r="H31">
        <v>2</v>
      </c>
      <c r="I31" s="8">
        <v>9000</v>
      </c>
      <c r="J31" s="10">
        <f>Table13[[#This Row],[Unit Price]]*Table13[[#This Row],[Quantity]]</f>
        <v>18000</v>
      </c>
      <c r="K31" s="6">
        <v>0</v>
      </c>
      <c r="L31" s="10">
        <f>Table13[[#This Row],[Gross Sales]]*Table13[[#This Row],[Discount]]</f>
        <v>0</v>
      </c>
      <c r="M31" s="10">
        <f>Table13[[#This Row],[Gross Sales]]-Table13[[#This Row],[Discount Amount]]</f>
        <v>18000</v>
      </c>
      <c r="N31" s="8">
        <v>7600</v>
      </c>
      <c r="O31" s="8">
        <f>Table13[[#This Row],[Unit Cost]]*Table13[[#This Row],[Quantity]]</f>
        <v>15200</v>
      </c>
      <c r="P31" s="8">
        <f>Table13[[#This Row],[Total Sales]]-Table13[[#This Row],[Total Cost]]</f>
        <v>2800</v>
      </c>
      <c r="Q31" s="12">
        <f>Table13[[#This Row],[Profit]]/Table13[[#This Row],[Total Sales]]</f>
        <v>0.15555555555555556</v>
      </c>
      <c r="R31" t="s">
        <v>330</v>
      </c>
      <c r="S31" t="s">
        <v>336</v>
      </c>
    </row>
    <row r="32" spans="1:19" x14ac:dyDescent="0.25">
      <c r="A32" t="s">
        <v>41</v>
      </c>
      <c r="B32" s="14">
        <v>45703</v>
      </c>
      <c r="C32" s="4" t="str">
        <f>TEXT(Table13[[#This Row],[Order Date]],"mmmm")</f>
        <v>February</v>
      </c>
      <c r="D32" s="4" t="str">
        <f>TEXT(Table13[[#This Row],[Order Date]],"dddd")</f>
        <v>Saturday</v>
      </c>
      <c r="E32" t="s">
        <v>255</v>
      </c>
      <c r="F32" t="s">
        <v>319</v>
      </c>
      <c r="G32" t="s">
        <v>329</v>
      </c>
      <c r="H32">
        <v>7</v>
      </c>
      <c r="I32" s="8">
        <v>1200</v>
      </c>
      <c r="J32" s="10">
        <f>Table13[[#This Row],[Unit Price]]*Table13[[#This Row],[Quantity]]</f>
        <v>8400</v>
      </c>
      <c r="K32" s="6">
        <v>0</v>
      </c>
      <c r="L32" s="10">
        <f>Table13[[#This Row],[Gross Sales]]*Table13[[#This Row],[Discount]]</f>
        <v>0</v>
      </c>
      <c r="M32" s="10">
        <f>Table13[[#This Row],[Gross Sales]]-Table13[[#This Row],[Discount Amount]]</f>
        <v>8400</v>
      </c>
      <c r="N32" s="8">
        <v>900</v>
      </c>
      <c r="O32" s="8">
        <f>Table13[[#This Row],[Unit Cost]]*Table13[[#This Row],[Quantity]]</f>
        <v>6300</v>
      </c>
      <c r="P32" s="8">
        <f>Table13[[#This Row],[Total Sales]]-Table13[[#This Row],[Total Cost]]</f>
        <v>2100</v>
      </c>
      <c r="Q32" s="12">
        <f>Table13[[#This Row],[Profit]]/Table13[[#This Row],[Total Sales]]</f>
        <v>0.25</v>
      </c>
      <c r="R32" t="s">
        <v>334</v>
      </c>
      <c r="S32" t="s">
        <v>336</v>
      </c>
    </row>
    <row r="33" spans="1:19" x14ac:dyDescent="0.25">
      <c r="A33" t="s">
        <v>42</v>
      </c>
      <c r="B33" s="14">
        <v>45704</v>
      </c>
      <c r="C33" s="4" t="str">
        <f>TEXT(Table13[[#This Row],[Order Date]],"mmmm")</f>
        <v>February</v>
      </c>
      <c r="D33" s="4" t="str">
        <f>TEXT(Table13[[#This Row],[Order Date]],"dddd")</f>
        <v>Sunday</v>
      </c>
      <c r="E33" t="s">
        <v>278</v>
      </c>
      <c r="F33" t="s">
        <v>315</v>
      </c>
      <c r="G33" t="s">
        <v>324</v>
      </c>
      <c r="H33">
        <v>2</v>
      </c>
      <c r="I33" s="8">
        <v>9000</v>
      </c>
      <c r="J33" s="10">
        <f>Table13[[#This Row],[Unit Price]]*Table13[[#This Row],[Quantity]]</f>
        <v>18000</v>
      </c>
      <c r="K33" s="6">
        <v>0</v>
      </c>
      <c r="L33" s="10">
        <f>Table13[[#This Row],[Gross Sales]]*Table13[[#This Row],[Discount]]</f>
        <v>0</v>
      </c>
      <c r="M33" s="10">
        <f>Table13[[#This Row],[Gross Sales]]-Table13[[#This Row],[Discount Amount]]</f>
        <v>18000</v>
      </c>
      <c r="N33" s="8">
        <v>7600</v>
      </c>
      <c r="O33" s="8">
        <f>Table13[[#This Row],[Unit Cost]]*Table13[[#This Row],[Quantity]]</f>
        <v>15200</v>
      </c>
      <c r="P33" s="8">
        <f>Table13[[#This Row],[Total Sales]]-Table13[[#This Row],[Total Cost]]</f>
        <v>2800</v>
      </c>
      <c r="Q33" s="12">
        <f>Table13[[#This Row],[Profit]]/Table13[[#This Row],[Total Sales]]</f>
        <v>0.15555555555555556</v>
      </c>
      <c r="R33" t="s">
        <v>332</v>
      </c>
      <c r="S33" t="s">
        <v>336</v>
      </c>
    </row>
    <row r="34" spans="1:19" x14ac:dyDescent="0.25">
      <c r="A34" t="s">
        <v>43</v>
      </c>
      <c r="B34" s="14">
        <v>45706</v>
      </c>
      <c r="C34" s="4" t="str">
        <f>TEXT(Table13[[#This Row],[Order Date]],"mmmm")</f>
        <v>February</v>
      </c>
      <c r="D34" s="4" t="str">
        <f>TEXT(Table13[[#This Row],[Order Date]],"dddd")</f>
        <v>Tuesday</v>
      </c>
      <c r="E34" t="s">
        <v>279</v>
      </c>
      <c r="F34" t="s">
        <v>315</v>
      </c>
      <c r="G34" t="s">
        <v>328</v>
      </c>
      <c r="H34">
        <v>1</v>
      </c>
      <c r="I34" s="8">
        <v>5000</v>
      </c>
      <c r="J34" s="10">
        <f>Table13[[#This Row],[Unit Price]]*Table13[[#This Row],[Quantity]]</f>
        <v>5000</v>
      </c>
      <c r="K34" s="6">
        <v>0</v>
      </c>
      <c r="L34" s="10">
        <f>Table13[[#This Row],[Gross Sales]]*Table13[[#This Row],[Discount]]</f>
        <v>0</v>
      </c>
      <c r="M34" s="10">
        <f>Table13[[#This Row],[Gross Sales]]-Table13[[#This Row],[Discount Amount]]</f>
        <v>5000</v>
      </c>
      <c r="N34" s="8">
        <v>4000</v>
      </c>
      <c r="O34" s="8">
        <f>Table13[[#This Row],[Unit Cost]]*Table13[[#This Row],[Quantity]]</f>
        <v>4000</v>
      </c>
      <c r="P34" s="8">
        <f>Table13[[#This Row],[Total Sales]]-Table13[[#This Row],[Total Cost]]</f>
        <v>1000</v>
      </c>
      <c r="Q34" s="12">
        <f>Table13[[#This Row],[Profit]]/Table13[[#This Row],[Total Sales]]</f>
        <v>0.2</v>
      </c>
      <c r="R34" t="s">
        <v>334</v>
      </c>
      <c r="S34" t="s">
        <v>339</v>
      </c>
    </row>
    <row r="35" spans="1:19" x14ac:dyDescent="0.25">
      <c r="A35" t="s">
        <v>44</v>
      </c>
      <c r="B35" s="14">
        <v>45707</v>
      </c>
      <c r="C35" s="4" t="str">
        <f>TEXT(Table13[[#This Row],[Order Date]],"mmmm")</f>
        <v>February</v>
      </c>
      <c r="D35" s="4" t="str">
        <f>TEXT(Table13[[#This Row],[Order Date]],"dddd")</f>
        <v>Wednesday</v>
      </c>
      <c r="E35" t="s">
        <v>280</v>
      </c>
      <c r="F35" t="s">
        <v>321</v>
      </c>
      <c r="G35" t="s">
        <v>326</v>
      </c>
      <c r="H35">
        <v>7</v>
      </c>
      <c r="I35" s="8">
        <v>1800</v>
      </c>
      <c r="J35" s="10">
        <f>Table13[[#This Row],[Unit Price]]*Table13[[#This Row],[Quantity]]</f>
        <v>12600</v>
      </c>
      <c r="K35" s="6">
        <v>0</v>
      </c>
      <c r="L35" s="10">
        <f>Table13[[#This Row],[Gross Sales]]*Table13[[#This Row],[Discount]]</f>
        <v>0</v>
      </c>
      <c r="M35" s="10">
        <f>Table13[[#This Row],[Gross Sales]]-Table13[[#This Row],[Discount Amount]]</f>
        <v>12600</v>
      </c>
      <c r="N35" s="8">
        <v>1400</v>
      </c>
      <c r="O35" s="8">
        <f>Table13[[#This Row],[Unit Cost]]*Table13[[#This Row],[Quantity]]</f>
        <v>9800</v>
      </c>
      <c r="P35" s="8">
        <f>Table13[[#This Row],[Total Sales]]-Table13[[#This Row],[Total Cost]]</f>
        <v>2800</v>
      </c>
      <c r="Q35" s="12">
        <f>Table13[[#This Row],[Profit]]/Table13[[#This Row],[Total Sales]]</f>
        <v>0.22222222222222221</v>
      </c>
      <c r="R35" t="s">
        <v>334</v>
      </c>
      <c r="S35" t="s">
        <v>336</v>
      </c>
    </row>
    <row r="36" spans="1:19" x14ac:dyDescent="0.25">
      <c r="A36" t="s">
        <v>45</v>
      </c>
      <c r="B36" s="14">
        <v>45709</v>
      </c>
      <c r="C36" s="4" t="str">
        <f>TEXT(Table13[[#This Row],[Order Date]],"mmmm")</f>
        <v>February</v>
      </c>
      <c r="D36" s="4" t="str">
        <f>TEXT(Table13[[#This Row],[Order Date]],"dddd")</f>
        <v>Friday</v>
      </c>
      <c r="E36" t="s">
        <v>281</v>
      </c>
      <c r="F36" t="s">
        <v>318</v>
      </c>
      <c r="G36" t="s">
        <v>329</v>
      </c>
      <c r="H36">
        <v>4</v>
      </c>
      <c r="I36" s="8">
        <v>1200</v>
      </c>
      <c r="J36" s="10">
        <f>Table13[[#This Row],[Unit Price]]*Table13[[#This Row],[Quantity]]</f>
        <v>4800</v>
      </c>
      <c r="K36" s="6">
        <v>0.05</v>
      </c>
      <c r="L36" s="10">
        <f>Table13[[#This Row],[Gross Sales]]*Table13[[#This Row],[Discount]]</f>
        <v>240</v>
      </c>
      <c r="M36" s="10">
        <f>Table13[[#This Row],[Gross Sales]]-Table13[[#This Row],[Discount Amount]]</f>
        <v>4560</v>
      </c>
      <c r="N36" s="8">
        <v>900</v>
      </c>
      <c r="O36" s="8">
        <f>Table13[[#This Row],[Unit Cost]]*Table13[[#This Row],[Quantity]]</f>
        <v>3600</v>
      </c>
      <c r="P36" s="8">
        <f>Table13[[#This Row],[Total Sales]]-Table13[[#This Row],[Total Cost]]</f>
        <v>960</v>
      </c>
      <c r="Q36" s="12">
        <f>Table13[[#This Row],[Profit]]/Table13[[#This Row],[Total Sales]]</f>
        <v>0.21052631578947367</v>
      </c>
      <c r="R36" t="s">
        <v>334</v>
      </c>
      <c r="S36" t="s">
        <v>337</v>
      </c>
    </row>
    <row r="37" spans="1:19" x14ac:dyDescent="0.25">
      <c r="A37" t="s">
        <v>46</v>
      </c>
      <c r="B37" s="14">
        <v>45710</v>
      </c>
      <c r="C37" s="4" t="str">
        <f>TEXT(Table13[[#This Row],[Order Date]],"mmmm")</f>
        <v>February</v>
      </c>
      <c r="D37" s="4" t="str">
        <f>TEXT(Table13[[#This Row],[Order Date]],"dddd")</f>
        <v>Saturday</v>
      </c>
      <c r="E37" t="s">
        <v>260</v>
      </c>
      <c r="F37" t="s">
        <v>318</v>
      </c>
      <c r="G37" t="s">
        <v>325</v>
      </c>
      <c r="H37">
        <v>4</v>
      </c>
      <c r="I37" s="8">
        <v>8500</v>
      </c>
      <c r="J37" s="10">
        <f>Table13[[#This Row],[Unit Price]]*Table13[[#This Row],[Quantity]]</f>
        <v>34000</v>
      </c>
      <c r="K37" s="6">
        <v>0</v>
      </c>
      <c r="L37" s="10">
        <f>Table13[[#This Row],[Gross Sales]]*Table13[[#This Row],[Discount]]</f>
        <v>0</v>
      </c>
      <c r="M37" s="10">
        <f>Table13[[#This Row],[Gross Sales]]-Table13[[#This Row],[Discount Amount]]</f>
        <v>34000</v>
      </c>
      <c r="N37" s="8">
        <v>7000</v>
      </c>
      <c r="O37" s="8">
        <f>Table13[[#This Row],[Unit Cost]]*Table13[[#This Row],[Quantity]]</f>
        <v>28000</v>
      </c>
      <c r="P37" s="8">
        <f>Table13[[#This Row],[Total Sales]]-Table13[[#This Row],[Total Cost]]</f>
        <v>6000</v>
      </c>
      <c r="Q37" s="12">
        <f>Table13[[#This Row],[Profit]]/Table13[[#This Row],[Total Sales]]</f>
        <v>0.17647058823529413</v>
      </c>
      <c r="R37" t="s">
        <v>334</v>
      </c>
      <c r="S37" t="s">
        <v>336</v>
      </c>
    </row>
    <row r="38" spans="1:19" x14ac:dyDescent="0.25">
      <c r="A38" t="s">
        <v>47</v>
      </c>
      <c r="B38" s="14">
        <v>45712</v>
      </c>
      <c r="C38" s="4" t="str">
        <f>TEXT(Table13[[#This Row],[Order Date]],"mmmm")</f>
        <v>February</v>
      </c>
      <c r="D38" s="4" t="str">
        <f>TEXT(Table13[[#This Row],[Order Date]],"dddd")</f>
        <v>Monday</v>
      </c>
      <c r="E38" t="s">
        <v>276</v>
      </c>
      <c r="F38" t="s">
        <v>318</v>
      </c>
      <c r="G38" t="s">
        <v>325</v>
      </c>
      <c r="H38">
        <v>6</v>
      </c>
      <c r="I38" s="8">
        <v>8500</v>
      </c>
      <c r="J38" s="10">
        <f>Table13[[#This Row],[Unit Price]]*Table13[[#This Row],[Quantity]]</f>
        <v>51000</v>
      </c>
      <c r="K38" s="6">
        <v>0</v>
      </c>
      <c r="L38" s="10">
        <f>Table13[[#This Row],[Gross Sales]]*Table13[[#This Row],[Discount]]</f>
        <v>0</v>
      </c>
      <c r="M38" s="10">
        <f>Table13[[#This Row],[Gross Sales]]-Table13[[#This Row],[Discount Amount]]</f>
        <v>51000</v>
      </c>
      <c r="N38" s="8">
        <v>7000</v>
      </c>
      <c r="O38" s="8">
        <f>Table13[[#This Row],[Unit Cost]]*Table13[[#This Row],[Quantity]]</f>
        <v>42000</v>
      </c>
      <c r="P38" s="8">
        <f>Table13[[#This Row],[Total Sales]]-Table13[[#This Row],[Total Cost]]</f>
        <v>9000</v>
      </c>
      <c r="Q38" s="12">
        <f>Table13[[#This Row],[Profit]]/Table13[[#This Row],[Total Sales]]</f>
        <v>0.17647058823529413</v>
      </c>
      <c r="R38" t="s">
        <v>334</v>
      </c>
      <c r="S38" t="s">
        <v>336</v>
      </c>
    </row>
    <row r="39" spans="1:19" x14ac:dyDescent="0.25">
      <c r="A39" t="s">
        <v>48</v>
      </c>
      <c r="B39" s="14">
        <v>45713</v>
      </c>
      <c r="C39" s="4" t="str">
        <f>TEXT(Table13[[#This Row],[Order Date]],"mmmm")</f>
        <v>February</v>
      </c>
      <c r="D39" s="4" t="str">
        <f>TEXT(Table13[[#This Row],[Order Date]],"dddd")</f>
        <v>Tuesday</v>
      </c>
      <c r="E39" t="s">
        <v>256</v>
      </c>
      <c r="F39" t="s">
        <v>315</v>
      </c>
      <c r="G39" t="s">
        <v>324</v>
      </c>
      <c r="H39">
        <v>3</v>
      </c>
      <c r="I39" s="8">
        <v>9000</v>
      </c>
      <c r="J39" s="10">
        <f>Table13[[#This Row],[Unit Price]]*Table13[[#This Row],[Quantity]]</f>
        <v>27000</v>
      </c>
      <c r="K39" s="6">
        <v>0.05</v>
      </c>
      <c r="L39" s="10">
        <f>Table13[[#This Row],[Gross Sales]]*Table13[[#This Row],[Discount]]</f>
        <v>1350</v>
      </c>
      <c r="M39" s="10">
        <f>Table13[[#This Row],[Gross Sales]]-Table13[[#This Row],[Discount Amount]]</f>
        <v>25650</v>
      </c>
      <c r="N39" s="8">
        <v>7600</v>
      </c>
      <c r="O39" s="8">
        <f>Table13[[#This Row],[Unit Cost]]*Table13[[#This Row],[Quantity]]</f>
        <v>22800</v>
      </c>
      <c r="P39" s="8">
        <f>Table13[[#This Row],[Total Sales]]-Table13[[#This Row],[Total Cost]]</f>
        <v>2850</v>
      </c>
      <c r="Q39" s="12">
        <f>Table13[[#This Row],[Profit]]/Table13[[#This Row],[Total Sales]]</f>
        <v>0.1111111111111111</v>
      </c>
      <c r="R39" t="s">
        <v>334</v>
      </c>
      <c r="S39" t="s">
        <v>336</v>
      </c>
    </row>
    <row r="40" spans="1:19" x14ac:dyDescent="0.25">
      <c r="A40" t="s">
        <v>49</v>
      </c>
      <c r="B40" s="14">
        <v>45715</v>
      </c>
      <c r="C40" s="4" t="str">
        <f>TEXT(Table13[[#This Row],[Order Date]],"mmmm")</f>
        <v>February</v>
      </c>
      <c r="D40" s="4" t="str">
        <f>TEXT(Table13[[#This Row],[Order Date]],"dddd")</f>
        <v>Thursday</v>
      </c>
      <c r="E40" t="s">
        <v>259</v>
      </c>
      <c r="F40" t="s">
        <v>315</v>
      </c>
      <c r="G40" t="s">
        <v>328</v>
      </c>
      <c r="H40">
        <v>1</v>
      </c>
      <c r="I40" s="8">
        <v>5000</v>
      </c>
      <c r="J40" s="10">
        <f>Table13[[#This Row],[Unit Price]]*Table13[[#This Row],[Quantity]]</f>
        <v>5000</v>
      </c>
      <c r="K40" s="6">
        <v>0</v>
      </c>
      <c r="L40" s="10">
        <f>Table13[[#This Row],[Gross Sales]]*Table13[[#This Row],[Discount]]</f>
        <v>0</v>
      </c>
      <c r="M40" s="10">
        <f>Table13[[#This Row],[Gross Sales]]-Table13[[#This Row],[Discount Amount]]</f>
        <v>5000</v>
      </c>
      <c r="N40" s="8">
        <v>4000</v>
      </c>
      <c r="O40" s="8">
        <f>Table13[[#This Row],[Unit Cost]]*Table13[[#This Row],[Quantity]]</f>
        <v>4000</v>
      </c>
      <c r="P40" s="8">
        <f>Table13[[#This Row],[Total Sales]]-Table13[[#This Row],[Total Cost]]</f>
        <v>1000</v>
      </c>
      <c r="Q40" s="12">
        <f>Table13[[#This Row],[Profit]]/Table13[[#This Row],[Total Sales]]</f>
        <v>0.2</v>
      </c>
      <c r="R40" t="s">
        <v>344</v>
      </c>
      <c r="S40" t="s">
        <v>336</v>
      </c>
    </row>
    <row r="41" spans="1:19" x14ac:dyDescent="0.25">
      <c r="A41" t="s">
        <v>50</v>
      </c>
      <c r="B41" s="14">
        <v>45716</v>
      </c>
      <c r="C41" s="4" t="str">
        <f>TEXT(Table13[[#This Row],[Order Date]],"mmmm")</f>
        <v>February</v>
      </c>
      <c r="D41" s="4" t="str">
        <f>TEXT(Table13[[#This Row],[Order Date]],"dddd")</f>
        <v>Friday</v>
      </c>
      <c r="E41" t="s">
        <v>274</v>
      </c>
      <c r="F41" t="s">
        <v>315</v>
      </c>
      <c r="G41" t="s">
        <v>328</v>
      </c>
      <c r="H41">
        <v>6</v>
      </c>
      <c r="I41" s="8">
        <v>5000</v>
      </c>
      <c r="J41" s="10">
        <f>Table13[[#This Row],[Unit Price]]*Table13[[#This Row],[Quantity]]</f>
        <v>30000</v>
      </c>
      <c r="K41" s="6">
        <v>0.05</v>
      </c>
      <c r="L41" s="10">
        <f>Table13[[#This Row],[Gross Sales]]*Table13[[#This Row],[Discount]]</f>
        <v>1500</v>
      </c>
      <c r="M41" s="10">
        <f>Table13[[#This Row],[Gross Sales]]-Table13[[#This Row],[Discount Amount]]</f>
        <v>28500</v>
      </c>
      <c r="N41" s="8">
        <v>4000</v>
      </c>
      <c r="O41" s="8">
        <f>Table13[[#This Row],[Unit Cost]]*Table13[[#This Row],[Quantity]]</f>
        <v>24000</v>
      </c>
      <c r="P41" s="8">
        <f>Table13[[#This Row],[Total Sales]]-Table13[[#This Row],[Total Cost]]</f>
        <v>4500</v>
      </c>
      <c r="Q41" s="12">
        <f>Table13[[#This Row],[Profit]]/Table13[[#This Row],[Total Sales]]</f>
        <v>0.15789473684210525</v>
      </c>
      <c r="R41" t="s">
        <v>344</v>
      </c>
      <c r="S41" t="s">
        <v>336</v>
      </c>
    </row>
    <row r="42" spans="1:19" x14ac:dyDescent="0.25">
      <c r="A42" t="s">
        <v>51</v>
      </c>
      <c r="B42" s="14">
        <v>45718</v>
      </c>
      <c r="C42" s="4" t="str">
        <f>TEXT(Table13[[#This Row],[Order Date]],"mmmm")</f>
        <v>March</v>
      </c>
      <c r="D42" s="4" t="str">
        <f>TEXT(Table13[[#This Row],[Order Date]],"dddd")</f>
        <v>Sunday</v>
      </c>
      <c r="E42" t="s">
        <v>282</v>
      </c>
      <c r="F42" t="s">
        <v>319</v>
      </c>
      <c r="G42" t="s">
        <v>324</v>
      </c>
      <c r="H42">
        <v>2</v>
      </c>
      <c r="I42" s="8">
        <v>9000</v>
      </c>
      <c r="J42" s="10">
        <f>Table13[[#This Row],[Unit Price]]*Table13[[#This Row],[Quantity]]</f>
        <v>18000</v>
      </c>
      <c r="K42" s="6">
        <v>0</v>
      </c>
      <c r="L42" s="10">
        <f>Table13[[#This Row],[Gross Sales]]*Table13[[#This Row],[Discount]]</f>
        <v>0</v>
      </c>
      <c r="M42" s="10">
        <f>Table13[[#This Row],[Gross Sales]]-Table13[[#This Row],[Discount Amount]]</f>
        <v>18000</v>
      </c>
      <c r="N42" s="8">
        <v>7600</v>
      </c>
      <c r="O42" s="8">
        <f>Table13[[#This Row],[Unit Cost]]*Table13[[#This Row],[Quantity]]</f>
        <v>15200</v>
      </c>
      <c r="P42" s="8">
        <f>Table13[[#This Row],[Total Sales]]-Table13[[#This Row],[Total Cost]]</f>
        <v>2800</v>
      </c>
      <c r="Q42" s="12">
        <f>Table13[[#This Row],[Profit]]/Table13[[#This Row],[Total Sales]]</f>
        <v>0.15555555555555556</v>
      </c>
      <c r="R42" t="s">
        <v>330</v>
      </c>
      <c r="S42" t="s">
        <v>336</v>
      </c>
    </row>
    <row r="43" spans="1:19" x14ac:dyDescent="0.25">
      <c r="A43" t="s">
        <v>52</v>
      </c>
      <c r="B43" s="14">
        <v>45720</v>
      </c>
      <c r="C43" s="4" t="str">
        <f>TEXT(Table13[[#This Row],[Order Date]],"mmmm")</f>
        <v>March</v>
      </c>
      <c r="D43" s="4" t="str">
        <f>TEXT(Table13[[#This Row],[Order Date]],"dddd")</f>
        <v>Tuesday</v>
      </c>
      <c r="E43" t="s">
        <v>252</v>
      </c>
      <c r="F43" t="s">
        <v>318</v>
      </c>
      <c r="G43" t="s">
        <v>325</v>
      </c>
      <c r="H43">
        <v>4</v>
      </c>
      <c r="I43" s="8">
        <v>8500</v>
      </c>
      <c r="J43" s="10">
        <f>Table13[[#This Row],[Unit Price]]*Table13[[#This Row],[Quantity]]</f>
        <v>34000</v>
      </c>
      <c r="K43" s="6">
        <v>0.1</v>
      </c>
      <c r="L43" s="10">
        <f>Table13[[#This Row],[Gross Sales]]*Table13[[#This Row],[Discount]]</f>
        <v>3400</v>
      </c>
      <c r="M43" s="10">
        <f>Table13[[#This Row],[Gross Sales]]-Table13[[#This Row],[Discount Amount]]</f>
        <v>30600</v>
      </c>
      <c r="N43" s="8">
        <v>7000</v>
      </c>
      <c r="O43" s="8">
        <f>Table13[[#This Row],[Unit Cost]]*Table13[[#This Row],[Quantity]]</f>
        <v>28000</v>
      </c>
      <c r="P43" s="8">
        <f>Table13[[#This Row],[Total Sales]]-Table13[[#This Row],[Total Cost]]</f>
        <v>2600</v>
      </c>
      <c r="Q43" s="12">
        <f>Table13[[#This Row],[Profit]]/Table13[[#This Row],[Total Sales]]</f>
        <v>8.4967320261437912E-2</v>
      </c>
      <c r="R43" t="s">
        <v>334</v>
      </c>
      <c r="S43" t="s">
        <v>336</v>
      </c>
    </row>
    <row r="44" spans="1:19" x14ac:dyDescent="0.25">
      <c r="A44" t="s">
        <v>53</v>
      </c>
      <c r="B44" s="14">
        <v>45721</v>
      </c>
      <c r="C44" s="4" t="str">
        <f>TEXT(Table13[[#This Row],[Order Date]],"mmmm")</f>
        <v>March</v>
      </c>
      <c r="D44" s="4" t="str">
        <f>TEXT(Table13[[#This Row],[Order Date]],"dddd")</f>
        <v>Wednesday</v>
      </c>
      <c r="E44" t="s">
        <v>283</v>
      </c>
      <c r="F44" t="s">
        <v>315</v>
      </c>
      <c r="G44" t="s">
        <v>328</v>
      </c>
      <c r="H44">
        <v>7</v>
      </c>
      <c r="I44" s="8">
        <v>5000</v>
      </c>
      <c r="J44" s="10">
        <f>Table13[[#This Row],[Unit Price]]*Table13[[#This Row],[Quantity]]</f>
        <v>35000</v>
      </c>
      <c r="K44" s="6">
        <v>0</v>
      </c>
      <c r="L44" s="10">
        <f>Table13[[#This Row],[Gross Sales]]*Table13[[#This Row],[Discount]]</f>
        <v>0</v>
      </c>
      <c r="M44" s="10">
        <f>Table13[[#This Row],[Gross Sales]]-Table13[[#This Row],[Discount Amount]]</f>
        <v>35000</v>
      </c>
      <c r="N44" s="8">
        <v>4000</v>
      </c>
      <c r="O44" s="8">
        <f>Table13[[#This Row],[Unit Cost]]*Table13[[#This Row],[Quantity]]</f>
        <v>28000</v>
      </c>
      <c r="P44" s="8">
        <f>Table13[[#This Row],[Total Sales]]-Table13[[#This Row],[Total Cost]]</f>
        <v>7000</v>
      </c>
      <c r="Q44" s="12">
        <f>Table13[[#This Row],[Profit]]/Table13[[#This Row],[Total Sales]]</f>
        <v>0.2</v>
      </c>
      <c r="R44" t="s">
        <v>334</v>
      </c>
      <c r="S44" t="s">
        <v>336</v>
      </c>
    </row>
    <row r="45" spans="1:19" x14ac:dyDescent="0.25">
      <c r="A45" t="s">
        <v>54</v>
      </c>
      <c r="B45" s="14">
        <v>45723</v>
      </c>
      <c r="C45" s="4" t="str">
        <f>TEXT(Table13[[#This Row],[Order Date]],"mmmm")</f>
        <v>March</v>
      </c>
      <c r="D45" s="4" t="str">
        <f>TEXT(Table13[[#This Row],[Order Date]],"dddd")</f>
        <v>Friday</v>
      </c>
      <c r="E45" t="s">
        <v>284</v>
      </c>
      <c r="F45" t="s">
        <v>318</v>
      </c>
      <c r="G45" t="s">
        <v>324</v>
      </c>
      <c r="H45">
        <v>7</v>
      </c>
      <c r="I45" s="8">
        <v>9000</v>
      </c>
      <c r="J45" s="10">
        <f>Table13[[#This Row],[Unit Price]]*Table13[[#This Row],[Quantity]]</f>
        <v>63000</v>
      </c>
      <c r="K45" s="6">
        <v>0</v>
      </c>
      <c r="L45" s="10">
        <f>Table13[[#This Row],[Gross Sales]]*Table13[[#This Row],[Discount]]</f>
        <v>0</v>
      </c>
      <c r="M45" s="10">
        <f>Table13[[#This Row],[Gross Sales]]-Table13[[#This Row],[Discount Amount]]</f>
        <v>63000</v>
      </c>
      <c r="N45" s="8">
        <v>7600</v>
      </c>
      <c r="O45" s="8">
        <f>Table13[[#This Row],[Unit Cost]]*Table13[[#This Row],[Quantity]]</f>
        <v>53200</v>
      </c>
      <c r="P45" s="8">
        <f>Table13[[#This Row],[Total Sales]]-Table13[[#This Row],[Total Cost]]</f>
        <v>9800</v>
      </c>
      <c r="Q45" s="12">
        <f>Table13[[#This Row],[Profit]]/Table13[[#This Row],[Total Sales]]</f>
        <v>0.15555555555555556</v>
      </c>
      <c r="R45" t="s">
        <v>334</v>
      </c>
      <c r="S45" t="s">
        <v>339</v>
      </c>
    </row>
    <row r="46" spans="1:19" x14ac:dyDescent="0.25">
      <c r="A46" t="s">
        <v>55</v>
      </c>
      <c r="B46" s="14">
        <v>45724</v>
      </c>
      <c r="C46" s="4" t="str">
        <f>TEXT(Table13[[#This Row],[Order Date]],"mmmm")</f>
        <v>March</v>
      </c>
      <c r="D46" s="4" t="str">
        <f>TEXT(Table13[[#This Row],[Order Date]],"dddd")</f>
        <v>Saturday</v>
      </c>
      <c r="E46" t="s">
        <v>251</v>
      </c>
      <c r="F46" t="s">
        <v>318</v>
      </c>
      <c r="G46" t="s">
        <v>327</v>
      </c>
      <c r="H46">
        <v>3</v>
      </c>
      <c r="I46" s="8">
        <v>7500</v>
      </c>
      <c r="J46" s="10">
        <f>Table13[[#This Row],[Unit Price]]*Table13[[#This Row],[Quantity]]</f>
        <v>22500</v>
      </c>
      <c r="K46" s="6">
        <v>0.1</v>
      </c>
      <c r="L46" s="10">
        <f>Table13[[#This Row],[Gross Sales]]*Table13[[#This Row],[Discount]]</f>
        <v>2250</v>
      </c>
      <c r="M46" s="10">
        <f>Table13[[#This Row],[Gross Sales]]-Table13[[#This Row],[Discount Amount]]</f>
        <v>20250</v>
      </c>
      <c r="N46" s="8">
        <v>6300</v>
      </c>
      <c r="O46" s="8">
        <f>Table13[[#This Row],[Unit Cost]]*Table13[[#This Row],[Quantity]]</f>
        <v>18900</v>
      </c>
      <c r="P46" s="8">
        <f>Table13[[#This Row],[Total Sales]]-Table13[[#This Row],[Total Cost]]</f>
        <v>1350</v>
      </c>
      <c r="Q46" s="12">
        <f>Table13[[#This Row],[Profit]]/Table13[[#This Row],[Total Sales]]</f>
        <v>6.6666666666666666E-2</v>
      </c>
      <c r="R46" t="s">
        <v>330</v>
      </c>
      <c r="S46" t="s">
        <v>336</v>
      </c>
    </row>
    <row r="47" spans="1:19" x14ac:dyDescent="0.25">
      <c r="A47" t="s">
        <v>56</v>
      </c>
      <c r="B47" s="14">
        <v>45726</v>
      </c>
      <c r="C47" s="4" t="str">
        <f>TEXT(Table13[[#This Row],[Order Date]],"mmmm")</f>
        <v>March</v>
      </c>
      <c r="D47" s="4" t="str">
        <f>TEXT(Table13[[#This Row],[Order Date]],"dddd")</f>
        <v>Monday</v>
      </c>
      <c r="E47" t="s">
        <v>285</v>
      </c>
      <c r="F47" t="s">
        <v>321</v>
      </c>
      <c r="G47" t="s">
        <v>326</v>
      </c>
      <c r="H47">
        <v>6</v>
      </c>
      <c r="I47" s="8">
        <v>1800</v>
      </c>
      <c r="J47" s="10">
        <f>Table13[[#This Row],[Unit Price]]*Table13[[#This Row],[Quantity]]</f>
        <v>10800</v>
      </c>
      <c r="K47" s="6">
        <v>0.05</v>
      </c>
      <c r="L47" s="10">
        <f>Table13[[#This Row],[Gross Sales]]*Table13[[#This Row],[Discount]]</f>
        <v>540</v>
      </c>
      <c r="M47" s="10">
        <f>Table13[[#This Row],[Gross Sales]]-Table13[[#This Row],[Discount Amount]]</f>
        <v>10260</v>
      </c>
      <c r="N47" s="8">
        <v>1400</v>
      </c>
      <c r="O47" s="8">
        <f>Table13[[#This Row],[Unit Cost]]*Table13[[#This Row],[Quantity]]</f>
        <v>8400</v>
      </c>
      <c r="P47" s="8">
        <f>Table13[[#This Row],[Total Sales]]-Table13[[#This Row],[Total Cost]]</f>
        <v>1860</v>
      </c>
      <c r="Q47" s="12">
        <f>Table13[[#This Row],[Profit]]/Table13[[#This Row],[Total Sales]]</f>
        <v>0.18128654970760233</v>
      </c>
      <c r="R47" t="s">
        <v>330</v>
      </c>
      <c r="S47" t="s">
        <v>336</v>
      </c>
    </row>
    <row r="48" spans="1:19" x14ac:dyDescent="0.25">
      <c r="A48" t="s">
        <v>57</v>
      </c>
      <c r="B48" s="14">
        <v>45727</v>
      </c>
      <c r="C48" s="4" t="str">
        <f>TEXT(Table13[[#This Row],[Order Date]],"mmmm")</f>
        <v>March</v>
      </c>
      <c r="D48" s="4" t="str">
        <f>TEXT(Table13[[#This Row],[Order Date]],"dddd")</f>
        <v>Tuesday</v>
      </c>
      <c r="E48" t="s">
        <v>286</v>
      </c>
      <c r="F48" t="s">
        <v>315</v>
      </c>
      <c r="G48" t="s">
        <v>327</v>
      </c>
      <c r="H48">
        <v>5</v>
      </c>
      <c r="I48" s="8">
        <v>7500</v>
      </c>
      <c r="J48" s="10">
        <f>Table13[[#This Row],[Unit Price]]*Table13[[#This Row],[Quantity]]</f>
        <v>37500</v>
      </c>
      <c r="K48" s="6">
        <v>0</v>
      </c>
      <c r="L48" s="10">
        <f>Table13[[#This Row],[Gross Sales]]*Table13[[#This Row],[Discount]]</f>
        <v>0</v>
      </c>
      <c r="M48" s="10">
        <f>Table13[[#This Row],[Gross Sales]]-Table13[[#This Row],[Discount Amount]]</f>
        <v>37500</v>
      </c>
      <c r="N48" s="8">
        <v>6300</v>
      </c>
      <c r="O48" s="8">
        <f>Table13[[#This Row],[Unit Cost]]*Table13[[#This Row],[Quantity]]</f>
        <v>31500</v>
      </c>
      <c r="P48" s="8">
        <f>Table13[[#This Row],[Total Sales]]-Table13[[#This Row],[Total Cost]]</f>
        <v>6000</v>
      </c>
      <c r="Q48" s="12">
        <f>Table13[[#This Row],[Profit]]/Table13[[#This Row],[Total Sales]]</f>
        <v>0.16</v>
      </c>
      <c r="R48" t="s">
        <v>334</v>
      </c>
      <c r="S48" t="s">
        <v>339</v>
      </c>
    </row>
    <row r="49" spans="1:19" x14ac:dyDescent="0.25">
      <c r="A49" t="s">
        <v>58</v>
      </c>
      <c r="B49" s="14">
        <v>45729</v>
      </c>
      <c r="C49" s="4" t="str">
        <f>TEXT(Table13[[#This Row],[Order Date]],"mmmm")</f>
        <v>March</v>
      </c>
      <c r="D49" s="4" t="str">
        <f>TEXT(Table13[[#This Row],[Order Date]],"dddd")</f>
        <v>Thursday</v>
      </c>
      <c r="E49" t="s">
        <v>276</v>
      </c>
      <c r="F49" t="s">
        <v>315</v>
      </c>
      <c r="G49" t="s">
        <v>324</v>
      </c>
      <c r="H49">
        <v>4</v>
      </c>
      <c r="I49" s="8">
        <v>9000</v>
      </c>
      <c r="J49" s="10">
        <f>Table13[[#This Row],[Unit Price]]*Table13[[#This Row],[Quantity]]</f>
        <v>36000</v>
      </c>
      <c r="K49" s="6">
        <v>0</v>
      </c>
      <c r="L49" s="10">
        <f>Table13[[#This Row],[Gross Sales]]*Table13[[#This Row],[Discount]]</f>
        <v>0</v>
      </c>
      <c r="M49" s="10">
        <f>Table13[[#This Row],[Gross Sales]]-Table13[[#This Row],[Discount Amount]]</f>
        <v>36000</v>
      </c>
      <c r="N49" s="8">
        <v>7600</v>
      </c>
      <c r="O49" s="8">
        <f>Table13[[#This Row],[Unit Cost]]*Table13[[#This Row],[Quantity]]</f>
        <v>30400</v>
      </c>
      <c r="P49" s="8">
        <f>Table13[[#This Row],[Total Sales]]-Table13[[#This Row],[Total Cost]]</f>
        <v>5600</v>
      </c>
      <c r="Q49" s="12">
        <f>Table13[[#This Row],[Profit]]/Table13[[#This Row],[Total Sales]]</f>
        <v>0.15555555555555556</v>
      </c>
      <c r="R49" t="s">
        <v>334</v>
      </c>
      <c r="S49" t="s">
        <v>339</v>
      </c>
    </row>
    <row r="50" spans="1:19" x14ac:dyDescent="0.25">
      <c r="A50" t="s">
        <v>59</v>
      </c>
      <c r="B50" s="14">
        <v>45730</v>
      </c>
      <c r="C50" s="4" t="str">
        <f>TEXT(Table13[[#This Row],[Order Date]],"mmmm")</f>
        <v>March</v>
      </c>
      <c r="D50" s="4" t="str">
        <f>TEXT(Table13[[#This Row],[Order Date]],"dddd")</f>
        <v>Friday</v>
      </c>
      <c r="E50" t="s">
        <v>287</v>
      </c>
      <c r="F50" t="s">
        <v>315</v>
      </c>
      <c r="G50" t="s">
        <v>324</v>
      </c>
      <c r="H50">
        <v>1</v>
      </c>
      <c r="I50" s="8">
        <v>9000</v>
      </c>
      <c r="J50" s="10">
        <f>Table13[[#This Row],[Unit Price]]*Table13[[#This Row],[Quantity]]</f>
        <v>9000</v>
      </c>
      <c r="K50" s="6">
        <v>0</v>
      </c>
      <c r="L50" s="10">
        <f>Table13[[#This Row],[Gross Sales]]*Table13[[#This Row],[Discount]]</f>
        <v>0</v>
      </c>
      <c r="M50" s="10">
        <f>Table13[[#This Row],[Gross Sales]]-Table13[[#This Row],[Discount Amount]]</f>
        <v>9000</v>
      </c>
      <c r="N50" s="8">
        <v>7600</v>
      </c>
      <c r="O50" s="8">
        <f>Table13[[#This Row],[Unit Cost]]*Table13[[#This Row],[Quantity]]</f>
        <v>7600</v>
      </c>
      <c r="P50" s="8">
        <f>Table13[[#This Row],[Total Sales]]-Table13[[#This Row],[Total Cost]]</f>
        <v>1400</v>
      </c>
      <c r="Q50" s="12">
        <f>Table13[[#This Row],[Profit]]/Table13[[#This Row],[Total Sales]]</f>
        <v>0.15555555555555556</v>
      </c>
      <c r="R50" t="s">
        <v>334</v>
      </c>
      <c r="S50" t="s">
        <v>336</v>
      </c>
    </row>
    <row r="51" spans="1:19" x14ac:dyDescent="0.25">
      <c r="A51" t="s">
        <v>60</v>
      </c>
      <c r="B51" s="14">
        <v>45732</v>
      </c>
      <c r="C51" s="4" t="str">
        <f>TEXT(Table13[[#This Row],[Order Date]],"mmmm")</f>
        <v>March</v>
      </c>
      <c r="D51" s="4" t="str">
        <f>TEXT(Table13[[#This Row],[Order Date]],"dddd")</f>
        <v>Sunday</v>
      </c>
      <c r="E51" t="s">
        <v>263</v>
      </c>
      <c r="F51" t="s">
        <v>318</v>
      </c>
      <c r="G51" t="s">
        <v>325</v>
      </c>
      <c r="H51">
        <v>3</v>
      </c>
      <c r="I51" s="8">
        <v>8500</v>
      </c>
      <c r="J51" s="10">
        <f>Table13[[#This Row],[Unit Price]]*Table13[[#This Row],[Quantity]]</f>
        <v>25500</v>
      </c>
      <c r="K51" s="6">
        <v>0</v>
      </c>
      <c r="L51" s="10">
        <f>Table13[[#This Row],[Gross Sales]]*Table13[[#This Row],[Discount]]</f>
        <v>0</v>
      </c>
      <c r="M51" s="10">
        <f>Table13[[#This Row],[Gross Sales]]-Table13[[#This Row],[Discount Amount]]</f>
        <v>25500</v>
      </c>
      <c r="N51" s="8">
        <v>7000</v>
      </c>
      <c r="O51" s="8">
        <f>Table13[[#This Row],[Unit Cost]]*Table13[[#This Row],[Quantity]]</f>
        <v>21000</v>
      </c>
      <c r="P51" s="8">
        <f>Table13[[#This Row],[Total Sales]]-Table13[[#This Row],[Total Cost]]</f>
        <v>4500</v>
      </c>
      <c r="Q51" s="12">
        <f>Table13[[#This Row],[Profit]]/Table13[[#This Row],[Total Sales]]</f>
        <v>0.17647058823529413</v>
      </c>
      <c r="R51" t="s">
        <v>334</v>
      </c>
      <c r="S51" t="s">
        <v>336</v>
      </c>
    </row>
    <row r="52" spans="1:19" x14ac:dyDescent="0.25">
      <c r="A52" t="s">
        <v>61</v>
      </c>
      <c r="B52" s="14">
        <v>45733</v>
      </c>
      <c r="C52" s="4" t="str">
        <f>TEXT(Table13[[#This Row],[Order Date]],"mmmm")</f>
        <v>March</v>
      </c>
      <c r="D52" s="4" t="str">
        <f>TEXT(Table13[[#This Row],[Order Date]],"dddd")</f>
        <v>Monday</v>
      </c>
      <c r="E52" t="s">
        <v>263</v>
      </c>
      <c r="F52" t="s">
        <v>315</v>
      </c>
      <c r="G52" t="s">
        <v>324</v>
      </c>
      <c r="H52">
        <v>5</v>
      </c>
      <c r="I52" s="8">
        <v>9000</v>
      </c>
      <c r="J52" s="10">
        <f>Table13[[#This Row],[Unit Price]]*Table13[[#This Row],[Quantity]]</f>
        <v>45000</v>
      </c>
      <c r="K52" s="6">
        <v>0</v>
      </c>
      <c r="L52" s="10">
        <f>Table13[[#This Row],[Gross Sales]]*Table13[[#This Row],[Discount]]</f>
        <v>0</v>
      </c>
      <c r="M52" s="10">
        <f>Table13[[#This Row],[Gross Sales]]-Table13[[#This Row],[Discount Amount]]</f>
        <v>45000</v>
      </c>
      <c r="N52" s="8">
        <v>7600</v>
      </c>
      <c r="O52" s="8">
        <f>Table13[[#This Row],[Unit Cost]]*Table13[[#This Row],[Quantity]]</f>
        <v>38000</v>
      </c>
      <c r="P52" s="8">
        <f>Table13[[#This Row],[Total Sales]]-Table13[[#This Row],[Total Cost]]</f>
        <v>7000</v>
      </c>
      <c r="Q52" s="12">
        <f>Table13[[#This Row],[Profit]]/Table13[[#This Row],[Total Sales]]</f>
        <v>0.15555555555555556</v>
      </c>
      <c r="R52" t="s">
        <v>344</v>
      </c>
      <c r="S52" t="s">
        <v>339</v>
      </c>
    </row>
    <row r="53" spans="1:19" x14ac:dyDescent="0.25">
      <c r="A53" t="s">
        <v>62</v>
      </c>
      <c r="B53" s="14">
        <v>45735</v>
      </c>
      <c r="C53" s="4" t="str">
        <f>TEXT(Table13[[#This Row],[Order Date]],"mmmm")</f>
        <v>March</v>
      </c>
      <c r="D53" s="4" t="str">
        <f>TEXT(Table13[[#This Row],[Order Date]],"dddd")</f>
        <v>Wednesday</v>
      </c>
      <c r="E53" t="s">
        <v>267</v>
      </c>
      <c r="F53" t="s">
        <v>319</v>
      </c>
      <c r="G53" t="s">
        <v>324</v>
      </c>
      <c r="H53">
        <v>7</v>
      </c>
      <c r="I53" s="8">
        <v>9000</v>
      </c>
      <c r="J53" s="10">
        <f>Table13[[#This Row],[Unit Price]]*Table13[[#This Row],[Quantity]]</f>
        <v>63000</v>
      </c>
      <c r="K53" s="6">
        <v>0.05</v>
      </c>
      <c r="L53" s="10">
        <f>Table13[[#This Row],[Gross Sales]]*Table13[[#This Row],[Discount]]</f>
        <v>3150</v>
      </c>
      <c r="M53" s="10">
        <f>Table13[[#This Row],[Gross Sales]]-Table13[[#This Row],[Discount Amount]]</f>
        <v>59850</v>
      </c>
      <c r="N53" s="8">
        <v>7600</v>
      </c>
      <c r="O53" s="8">
        <f>Table13[[#This Row],[Unit Cost]]*Table13[[#This Row],[Quantity]]</f>
        <v>53200</v>
      </c>
      <c r="P53" s="8">
        <f>Table13[[#This Row],[Total Sales]]-Table13[[#This Row],[Total Cost]]</f>
        <v>6650</v>
      </c>
      <c r="Q53" s="12">
        <f>Table13[[#This Row],[Profit]]/Table13[[#This Row],[Total Sales]]</f>
        <v>0.1111111111111111</v>
      </c>
      <c r="R53" t="s">
        <v>334</v>
      </c>
      <c r="S53" t="s">
        <v>336</v>
      </c>
    </row>
    <row r="54" spans="1:19" x14ac:dyDescent="0.25">
      <c r="A54" t="s">
        <v>63</v>
      </c>
      <c r="B54" s="14">
        <v>45736</v>
      </c>
      <c r="C54" s="4" t="str">
        <f>TEXT(Table13[[#This Row],[Order Date]],"mmmm")</f>
        <v>March</v>
      </c>
      <c r="D54" s="4" t="str">
        <f>TEXT(Table13[[#This Row],[Order Date]],"dddd")</f>
        <v>Thursday</v>
      </c>
      <c r="E54" t="s">
        <v>288</v>
      </c>
      <c r="F54" t="s">
        <v>321</v>
      </c>
      <c r="G54" t="s">
        <v>328</v>
      </c>
      <c r="H54">
        <v>1</v>
      </c>
      <c r="I54" s="8">
        <v>5000</v>
      </c>
      <c r="J54" s="10">
        <f>Table13[[#This Row],[Unit Price]]*Table13[[#This Row],[Quantity]]</f>
        <v>5000</v>
      </c>
      <c r="K54" s="6">
        <v>0</v>
      </c>
      <c r="L54" s="10">
        <f>Table13[[#This Row],[Gross Sales]]*Table13[[#This Row],[Discount]]</f>
        <v>0</v>
      </c>
      <c r="M54" s="10">
        <f>Table13[[#This Row],[Gross Sales]]-Table13[[#This Row],[Discount Amount]]</f>
        <v>5000</v>
      </c>
      <c r="N54" s="8">
        <v>4000</v>
      </c>
      <c r="O54" s="8">
        <f>Table13[[#This Row],[Unit Cost]]*Table13[[#This Row],[Quantity]]</f>
        <v>4000</v>
      </c>
      <c r="P54" s="8">
        <f>Table13[[#This Row],[Total Sales]]-Table13[[#This Row],[Total Cost]]</f>
        <v>1000</v>
      </c>
      <c r="Q54" s="12">
        <f>Table13[[#This Row],[Profit]]/Table13[[#This Row],[Total Sales]]</f>
        <v>0.2</v>
      </c>
      <c r="R54" t="s">
        <v>334</v>
      </c>
      <c r="S54" t="s">
        <v>336</v>
      </c>
    </row>
    <row r="55" spans="1:19" x14ac:dyDescent="0.25">
      <c r="A55" t="s">
        <v>64</v>
      </c>
      <c r="B55" s="14">
        <v>45738</v>
      </c>
      <c r="C55" s="4" t="str">
        <f>TEXT(Table13[[#This Row],[Order Date]],"mmmm")</f>
        <v>March</v>
      </c>
      <c r="D55" s="4" t="str">
        <f>TEXT(Table13[[#This Row],[Order Date]],"dddd")</f>
        <v>Saturday</v>
      </c>
      <c r="E55" t="s">
        <v>289</v>
      </c>
      <c r="F55" t="s">
        <v>319</v>
      </c>
      <c r="G55" t="s">
        <v>324</v>
      </c>
      <c r="H55">
        <v>6</v>
      </c>
      <c r="I55" s="8">
        <v>9000</v>
      </c>
      <c r="J55" s="10">
        <f>Table13[[#This Row],[Unit Price]]*Table13[[#This Row],[Quantity]]</f>
        <v>54000</v>
      </c>
      <c r="K55" s="6">
        <v>0.1</v>
      </c>
      <c r="L55" s="10">
        <f>Table13[[#This Row],[Gross Sales]]*Table13[[#This Row],[Discount]]</f>
        <v>5400</v>
      </c>
      <c r="M55" s="10">
        <f>Table13[[#This Row],[Gross Sales]]-Table13[[#This Row],[Discount Amount]]</f>
        <v>48600</v>
      </c>
      <c r="N55" s="8">
        <v>7600</v>
      </c>
      <c r="O55" s="8">
        <f>Table13[[#This Row],[Unit Cost]]*Table13[[#This Row],[Quantity]]</f>
        <v>45600</v>
      </c>
      <c r="P55" s="8">
        <f>Table13[[#This Row],[Total Sales]]-Table13[[#This Row],[Total Cost]]</f>
        <v>3000</v>
      </c>
      <c r="Q55" s="12">
        <f>Table13[[#This Row],[Profit]]/Table13[[#This Row],[Total Sales]]</f>
        <v>6.1728395061728392E-2</v>
      </c>
      <c r="R55" t="s">
        <v>330</v>
      </c>
      <c r="S55" t="s">
        <v>336</v>
      </c>
    </row>
    <row r="56" spans="1:19" x14ac:dyDescent="0.25">
      <c r="A56" t="s">
        <v>65</v>
      </c>
      <c r="B56" s="14">
        <v>45739</v>
      </c>
      <c r="C56" s="4" t="str">
        <f>TEXT(Table13[[#This Row],[Order Date]],"mmmm")</f>
        <v>March</v>
      </c>
      <c r="D56" s="4" t="str">
        <f>TEXT(Table13[[#This Row],[Order Date]],"dddd")</f>
        <v>Sunday</v>
      </c>
      <c r="E56" t="s">
        <v>289</v>
      </c>
      <c r="F56" t="s">
        <v>315</v>
      </c>
      <c r="G56" t="s">
        <v>325</v>
      </c>
      <c r="H56">
        <v>6</v>
      </c>
      <c r="I56" s="8">
        <v>8500</v>
      </c>
      <c r="J56" s="10">
        <f>Table13[[#This Row],[Unit Price]]*Table13[[#This Row],[Quantity]]</f>
        <v>51000</v>
      </c>
      <c r="K56" s="6">
        <v>0.05</v>
      </c>
      <c r="L56" s="10">
        <f>Table13[[#This Row],[Gross Sales]]*Table13[[#This Row],[Discount]]</f>
        <v>2550</v>
      </c>
      <c r="M56" s="10">
        <f>Table13[[#This Row],[Gross Sales]]-Table13[[#This Row],[Discount Amount]]</f>
        <v>48450</v>
      </c>
      <c r="N56" s="8">
        <v>7000</v>
      </c>
      <c r="O56" s="8">
        <f>Table13[[#This Row],[Unit Cost]]*Table13[[#This Row],[Quantity]]</f>
        <v>42000</v>
      </c>
      <c r="P56" s="8">
        <f>Table13[[#This Row],[Total Sales]]-Table13[[#This Row],[Total Cost]]</f>
        <v>6450</v>
      </c>
      <c r="Q56" s="12">
        <f>Table13[[#This Row],[Profit]]/Table13[[#This Row],[Total Sales]]</f>
        <v>0.13312693498452013</v>
      </c>
      <c r="R56" t="s">
        <v>344</v>
      </c>
      <c r="S56" t="s">
        <v>339</v>
      </c>
    </row>
    <row r="57" spans="1:19" x14ac:dyDescent="0.25">
      <c r="A57" t="s">
        <v>66</v>
      </c>
      <c r="B57" s="14">
        <v>45741</v>
      </c>
      <c r="C57" s="4" t="str">
        <f>TEXT(Table13[[#This Row],[Order Date]],"mmmm")</f>
        <v>March</v>
      </c>
      <c r="D57" s="4" t="str">
        <f>TEXT(Table13[[#This Row],[Order Date]],"dddd")</f>
        <v>Tuesday</v>
      </c>
      <c r="E57" t="s">
        <v>251</v>
      </c>
      <c r="F57" t="s">
        <v>315</v>
      </c>
      <c r="G57" t="s">
        <v>329</v>
      </c>
      <c r="H57">
        <v>7</v>
      </c>
      <c r="I57" s="8">
        <v>1200</v>
      </c>
      <c r="J57" s="10">
        <f>Table13[[#This Row],[Unit Price]]*Table13[[#This Row],[Quantity]]</f>
        <v>8400</v>
      </c>
      <c r="K57" s="6">
        <v>0.05</v>
      </c>
      <c r="L57" s="10">
        <f>Table13[[#This Row],[Gross Sales]]*Table13[[#This Row],[Discount]]</f>
        <v>420</v>
      </c>
      <c r="M57" s="10">
        <f>Table13[[#This Row],[Gross Sales]]-Table13[[#This Row],[Discount Amount]]</f>
        <v>7980</v>
      </c>
      <c r="N57" s="8">
        <v>900</v>
      </c>
      <c r="O57" s="8">
        <f>Table13[[#This Row],[Unit Cost]]*Table13[[#This Row],[Quantity]]</f>
        <v>6300</v>
      </c>
      <c r="P57" s="8">
        <f>Table13[[#This Row],[Total Sales]]-Table13[[#This Row],[Total Cost]]</f>
        <v>1680</v>
      </c>
      <c r="Q57" s="12">
        <f>Table13[[#This Row],[Profit]]/Table13[[#This Row],[Total Sales]]</f>
        <v>0.21052631578947367</v>
      </c>
      <c r="R57" t="s">
        <v>334</v>
      </c>
      <c r="S57" t="s">
        <v>339</v>
      </c>
    </row>
    <row r="58" spans="1:19" x14ac:dyDescent="0.25">
      <c r="A58" t="s">
        <v>67</v>
      </c>
      <c r="B58" s="14">
        <v>45742</v>
      </c>
      <c r="C58" s="4" t="str">
        <f>TEXT(Table13[[#This Row],[Order Date]],"mmmm")</f>
        <v>March</v>
      </c>
      <c r="D58" s="4" t="str">
        <f>TEXT(Table13[[#This Row],[Order Date]],"dddd")</f>
        <v>Wednesday</v>
      </c>
      <c r="E58" t="s">
        <v>290</v>
      </c>
      <c r="F58" t="s">
        <v>321</v>
      </c>
      <c r="G58" t="s">
        <v>324</v>
      </c>
      <c r="H58">
        <v>3</v>
      </c>
      <c r="I58" s="8">
        <v>9000</v>
      </c>
      <c r="J58" s="10">
        <f>Table13[[#This Row],[Unit Price]]*Table13[[#This Row],[Quantity]]</f>
        <v>27000</v>
      </c>
      <c r="K58" s="6">
        <v>0</v>
      </c>
      <c r="L58" s="10">
        <f>Table13[[#This Row],[Gross Sales]]*Table13[[#This Row],[Discount]]</f>
        <v>0</v>
      </c>
      <c r="M58" s="10">
        <f>Table13[[#This Row],[Gross Sales]]-Table13[[#This Row],[Discount Amount]]</f>
        <v>27000</v>
      </c>
      <c r="N58" s="8">
        <v>7600</v>
      </c>
      <c r="O58" s="8">
        <f>Table13[[#This Row],[Unit Cost]]*Table13[[#This Row],[Quantity]]</f>
        <v>22800</v>
      </c>
      <c r="P58" s="8">
        <f>Table13[[#This Row],[Total Sales]]-Table13[[#This Row],[Total Cost]]</f>
        <v>4200</v>
      </c>
      <c r="Q58" s="12">
        <f>Table13[[#This Row],[Profit]]/Table13[[#This Row],[Total Sales]]</f>
        <v>0.15555555555555556</v>
      </c>
      <c r="R58" t="s">
        <v>344</v>
      </c>
      <c r="S58" t="s">
        <v>336</v>
      </c>
    </row>
    <row r="59" spans="1:19" x14ac:dyDescent="0.25">
      <c r="A59" t="s">
        <v>68</v>
      </c>
      <c r="B59" s="14">
        <v>45744</v>
      </c>
      <c r="C59" s="4" t="str">
        <f>TEXT(Table13[[#This Row],[Order Date]],"mmmm")</f>
        <v>March</v>
      </c>
      <c r="D59" s="4" t="str">
        <f>TEXT(Table13[[#This Row],[Order Date]],"dddd")</f>
        <v>Friday</v>
      </c>
      <c r="E59" t="s">
        <v>291</v>
      </c>
      <c r="F59" t="s">
        <v>318</v>
      </c>
      <c r="G59" t="s">
        <v>325</v>
      </c>
      <c r="H59">
        <v>1</v>
      </c>
      <c r="I59" s="8">
        <v>8500</v>
      </c>
      <c r="J59" s="10">
        <f>Table13[[#This Row],[Unit Price]]*Table13[[#This Row],[Quantity]]</f>
        <v>8500</v>
      </c>
      <c r="K59" s="6">
        <v>0</v>
      </c>
      <c r="L59" s="10">
        <f>Table13[[#This Row],[Gross Sales]]*Table13[[#This Row],[Discount]]</f>
        <v>0</v>
      </c>
      <c r="M59" s="10">
        <f>Table13[[#This Row],[Gross Sales]]-Table13[[#This Row],[Discount Amount]]</f>
        <v>8500</v>
      </c>
      <c r="N59" s="8">
        <v>7000</v>
      </c>
      <c r="O59" s="8">
        <f>Table13[[#This Row],[Unit Cost]]*Table13[[#This Row],[Quantity]]</f>
        <v>7000</v>
      </c>
      <c r="P59" s="8">
        <f>Table13[[#This Row],[Total Sales]]-Table13[[#This Row],[Total Cost]]</f>
        <v>1500</v>
      </c>
      <c r="Q59" s="12">
        <f>Table13[[#This Row],[Profit]]/Table13[[#This Row],[Total Sales]]</f>
        <v>0.17647058823529413</v>
      </c>
      <c r="R59" t="s">
        <v>334</v>
      </c>
      <c r="S59" t="s">
        <v>336</v>
      </c>
    </row>
    <row r="60" spans="1:19" x14ac:dyDescent="0.25">
      <c r="A60" t="s">
        <v>69</v>
      </c>
      <c r="B60" s="14">
        <v>45745</v>
      </c>
      <c r="C60" s="4" t="str">
        <f>TEXT(Table13[[#This Row],[Order Date]],"mmmm")</f>
        <v>March</v>
      </c>
      <c r="D60" s="4" t="str">
        <f>TEXT(Table13[[#This Row],[Order Date]],"dddd")</f>
        <v>Saturday</v>
      </c>
      <c r="E60" t="s">
        <v>273</v>
      </c>
      <c r="F60" t="s">
        <v>319</v>
      </c>
      <c r="G60" t="s">
        <v>328</v>
      </c>
      <c r="H60">
        <v>2</v>
      </c>
      <c r="I60" s="8">
        <v>5000</v>
      </c>
      <c r="J60" s="10">
        <f>Table13[[#This Row],[Unit Price]]*Table13[[#This Row],[Quantity]]</f>
        <v>10000</v>
      </c>
      <c r="K60" s="6">
        <v>0</v>
      </c>
      <c r="L60" s="10">
        <f>Table13[[#This Row],[Gross Sales]]*Table13[[#This Row],[Discount]]</f>
        <v>0</v>
      </c>
      <c r="M60" s="10">
        <f>Table13[[#This Row],[Gross Sales]]-Table13[[#This Row],[Discount Amount]]</f>
        <v>10000</v>
      </c>
      <c r="N60" s="8">
        <v>4000</v>
      </c>
      <c r="O60" s="8">
        <f>Table13[[#This Row],[Unit Cost]]*Table13[[#This Row],[Quantity]]</f>
        <v>8000</v>
      </c>
      <c r="P60" s="8">
        <f>Table13[[#This Row],[Total Sales]]-Table13[[#This Row],[Total Cost]]</f>
        <v>2000</v>
      </c>
      <c r="Q60" s="12">
        <f>Table13[[#This Row],[Profit]]/Table13[[#This Row],[Total Sales]]</f>
        <v>0.2</v>
      </c>
      <c r="R60" t="s">
        <v>344</v>
      </c>
      <c r="S60" t="s">
        <v>337</v>
      </c>
    </row>
    <row r="61" spans="1:19" x14ac:dyDescent="0.25">
      <c r="A61" t="s">
        <v>70</v>
      </c>
      <c r="B61" s="14">
        <v>45747</v>
      </c>
      <c r="C61" s="4" t="str">
        <f>TEXT(Table13[[#This Row],[Order Date]],"mmmm")</f>
        <v>March</v>
      </c>
      <c r="D61" s="4" t="str">
        <f>TEXT(Table13[[#This Row],[Order Date]],"dddd")</f>
        <v>Monday</v>
      </c>
      <c r="E61" t="s">
        <v>292</v>
      </c>
      <c r="F61" t="s">
        <v>315</v>
      </c>
      <c r="G61" t="s">
        <v>326</v>
      </c>
      <c r="H61">
        <v>6</v>
      </c>
      <c r="I61" s="8">
        <v>1800</v>
      </c>
      <c r="J61" s="10">
        <f>Table13[[#This Row],[Unit Price]]*Table13[[#This Row],[Quantity]]</f>
        <v>10800</v>
      </c>
      <c r="K61" s="6">
        <v>0.05</v>
      </c>
      <c r="L61" s="10">
        <f>Table13[[#This Row],[Gross Sales]]*Table13[[#This Row],[Discount]]</f>
        <v>540</v>
      </c>
      <c r="M61" s="10">
        <f>Table13[[#This Row],[Gross Sales]]-Table13[[#This Row],[Discount Amount]]</f>
        <v>10260</v>
      </c>
      <c r="N61" s="8">
        <v>1400</v>
      </c>
      <c r="O61" s="8">
        <f>Table13[[#This Row],[Unit Cost]]*Table13[[#This Row],[Quantity]]</f>
        <v>8400</v>
      </c>
      <c r="P61" s="8">
        <f>Table13[[#This Row],[Total Sales]]-Table13[[#This Row],[Total Cost]]</f>
        <v>1860</v>
      </c>
      <c r="Q61" s="12">
        <f>Table13[[#This Row],[Profit]]/Table13[[#This Row],[Total Sales]]</f>
        <v>0.18128654970760233</v>
      </c>
      <c r="R61" t="s">
        <v>334</v>
      </c>
      <c r="S61" t="s">
        <v>336</v>
      </c>
    </row>
    <row r="62" spans="1:19" x14ac:dyDescent="0.25">
      <c r="A62" t="s">
        <v>71</v>
      </c>
      <c r="B62" s="14">
        <v>45748</v>
      </c>
      <c r="C62" s="4" t="str">
        <f>TEXT(Table13[[#This Row],[Order Date]],"mmmm")</f>
        <v>April</v>
      </c>
      <c r="D62" s="4" t="str">
        <f>TEXT(Table13[[#This Row],[Order Date]],"dddd")</f>
        <v>Tuesday</v>
      </c>
      <c r="E62" t="s">
        <v>293</v>
      </c>
      <c r="F62" t="s">
        <v>318</v>
      </c>
      <c r="G62" t="s">
        <v>324</v>
      </c>
      <c r="H62">
        <v>7</v>
      </c>
      <c r="I62" s="8">
        <v>9000</v>
      </c>
      <c r="J62" s="10">
        <f>Table13[[#This Row],[Unit Price]]*Table13[[#This Row],[Quantity]]</f>
        <v>63000</v>
      </c>
      <c r="K62" s="6">
        <v>0</v>
      </c>
      <c r="L62" s="10">
        <f>Table13[[#This Row],[Gross Sales]]*Table13[[#This Row],[Discount]]</f>
        <v>0</v>
      </c>
      <c r="M62" s="10">
        <f>Table13[[#This Row],[Gross Sales]]-Table13[[#This Row],[Discount Amount]]</f>
        <v>63000</v>
      </c>
      <c r="N62" s="8">
        <v>7600</v>
      </c>
      <c r="O62" s="8">
        <f>Table13[[#This Row],[Unit Cost]]*Table13[[#This Row],[Quantity]]</f>
        <v>53200</v>
      </c>
      <c r="P62" s="8">
        <f>Table13[[#This Row],[Total Sales]]-Table13[[#This Row],[Total Cost]]</f>
        <v>9800</v>
      </c>
      <c r="Q62" s="12">
        <f>Table13[[#This Row],[Profit]]/Table13[[#This Row],[Total Sales]]</f>
        <v>0.15555555555555556</v>
      </c>
      <c r="R62" t="s">
        <v>332</v>
      </c>
      <c r="S62" t="s">
        <v>337</v>
      </c>
    </row>
    <row r="63" spans="1:19" x14ac:dyDescent="0.25">
      <c r="A63" t="s">
        <v>72</v>
      </c>
      <c r="B63" s="14">
        <v>45750</v>
      </c>
      <c r="C63" s="4" t="str">
        <f>TEXT(Table13[[#This Row],[Order Date]],"mmmm")</f>
        <v>April</v>
      </c>
      <c r="D63" s="4" t="str">
        <f>TEXT(Table13[[#This Row],[Order Date]],"dddd")</f>
        <v>Thursday</v>
      </c>
      <c r="E63" t="s">
        <v>294</v>
      </c>
      <c r="F63" t="s">
        <v>315</v>
      </c>
      <c r="G63" t="s">
        <v>329</v>
      </c>
      <c r="H63">
        <v>5</v>
      </c>
      <c r="I63" s="8">
        <v>1200</v>
      </c>
      <c r="J63" s="10">
        <f>Table13[[#This Row],[Unit Price]]*Table13[[#This Row],[Quantity]]</f>
        <v>6000</v>
      </c>
      <c r="K63" s="6">
        <v>0</v>
      </c>
      <c r="L63" s="10">
        <f>Table13[[#This Row],[Gross Sales]]*Table13[[#This Row],[Discount]]</f>
        <v>0</v>
      </c>
      <c r="M63" s="10">
        <f>Table13[[#This Row],[Gross Sales]]-Table13[[#This Row],[Discount Amount]]</f>
        <v>6000</v>
      </c>
      <c r="N63" s="8">
        <v>900</v>
      </c>
      <c r="O63" s="8">
        <f>Table13[[#This Row],[Unit Cost]]*Table13[[#This Row],[Quantity]]</f>
        <v>4500</v>
      </c>
      <c r="P63" s="8">
        <f>Table13[[#This Row],[Total Sales]]-Table13[[#This Row],[Total Cost]]</f>
        <v>1500</v>
      </c>
      <c r="Q63" s="12">
        <f>Table13[[#This Row],[Profit]]/Table13[[#This Row],[Total Sales]]</f>
        <v>0.25</v>
      </c>
      <c r="R63" t="s">
        <v>334</v>
      </c>
      <c r="S63" t="s">
        <v>336</v>
      </c>
    </row>
    <row r="64" spans="1:19" x14ac:dyDescent="0.25">
      <c r="A64" t="s">
        <v>73</v>
      </c>
      <c r="B64" s="14">
        <v>45751</v>
      </c>
      <c r="C64" s="4" t="str">
        <f>TEXT(Table13[[#This Row],[Order Date]],"mmmm")</f>
        <v>April</v>
      </c>
      <c r="D64" s="4" t="str">
        <f>TEXT(Table13[[#This Row],[Order Date]],"dddd")</f>
        <v>Friday</v>
      </c>
      <c r="E64" t="s">
        <v>284</v>
      </c>
      <c r="F64" t="s">
        <v>315</v>
      </c>
      <c r="G64" t="s">
        <v>325</v>
      </c>
      <c r="H64">
        <v>1</v>
      </c>
      <c r="I64" s="8">
        <v>8500</v>
      </c>
      <c r="J64" s="10">
        <f>Table13[[#This Row],[Unit Price]]*Table13[[#This Row],[Quantity]]</f>
        <v>8500</v>
      </c>
      <c r="K64" s="6">
        <v>0</v>
      </c>
      <c r="L64" s="10">
        <f>Table13[[#This Row],[Gross Sales]]*Table13[[#This Row],[Discount]]</f>
        <v>0</v>
      </c>
      <c r="M64" s="10">
        <f>Table13[[#This Row],[Gross Sales]]-Table13[[#This Row],[Discount Amount]]</f>
        <v>8500</v>
      </c>
      <c r="N64" s="8">
        <v>7000</v>
      </c>
      <c r="O64" s="8">
        <f>Table13[[#This Row],[Unit Cost]]*Table13[[#This Row],[Quantity]]</f>
        <v>7000</v>
      </c>
      <c r="P64" s="8">
        <f>Table13[[#This Row],[Total Sales]]-Table13[[#This Row],[Total Cost]]</f>
        <v>1500</v>
      </c>
      <c r="Q64" s="12">
        <f>Table13[[#This Row],[Profit]]/Table13[[#This Row],[Total Sales]]</f>
        <v>0.17647058823529413</v>
      </c>
      <c r="R64" t="s">
        <v>334</v>
      </c>
      <c r="S64" t="s">
        <v>337</v>
      </c>
    </row>
    <row r="65" spans="1:19" x14ac:dyDescent="0.25">
      <c r="A65" t="s">
        <v>74</v>
      </c>
      <c r="B65" s="14">
        <v>45753</v>
      </c>
      <c r="C65" s="4" t="str">
        <f>TEXT(Table13[[#This Row],[Order Date]],"mmmm")</f>
        <v>April</v>
      </c>
      <c r="D65" s="4" t="str">
        <f>TEXT(Table13[[#This Row],[Order Date]],"dddd")</f>
        <v>Sunday</v>
      </c>
      <c r="E65" t="s">
        <v>295</v>
      </c>
      <c r="F65" t="s">
        <v>321</v>
      </c>
      <c r="G65" t="s">
        <v>326</v>
      </c>
      <c r="H65">
        <v>1</v>
      </c>
      <c r="I65" s="8">
        <v>1800</v>
      </c>
      <c r="J65" s="10">
        <f>Table13[[#This Row],[Unit Price]]*Table13[[#This Row],[Quantity]]</f>
        <v>1800</v>
      </c>
      <c r="K65" s="6">
        <v>0.1</v>
      </c>
      <c r="L65" s="10">
        <f>Table13[[#This Row],[Gross Sales]]*Table13[[#This Row],[Discount]]</f>
        <v>180</v>
      </c>
      <c r="M65" s="10">
        <f>Table13[[#This Row],[Gross Sales]]-Table13[[#This Row],[Discount Amount]]</f>
        <v>1620</v>
      </c>
      <c r="N65" s="8">
        <v>1400</v>
      </c>
      <c r="O65" s="8">
        <f>Table13[[#This Row],[Unit Cost]]*Table13[[#This Row],[Quantity]]</f>
        <v>1400</v>
      </c>
      <c r="P65" s="8">
        <f>Table13[[#This Row],[Total Sales]]-Table13[[#This Row],[Total Cost]]</f>
        <v>220</v>
      </c>
      <c r="Q65" s="12">
        <f>Table13[[#This Row],[Profit]]/Table13[[#This Row],[Total Sales]]</f>
        <v>0.13580246913580246</v>
      </c>
      <c r="R65" t="s">
        <v>334</v>
      </c>
      <c r="S65" t="s">
        <v>336</v>
      </c>
    </row>
    <row r="66" spans="1:19" x14ac:dyDescent="0.25">
      <c r="A66" t="s">
        <v>75</v>
      </c>
      <c r="B66" s="14">
        <v>45754</v>
      </c>
      <c r="C66" s="4" t="str">
        <f>TEXT(Table13[[#This Row],[Order Date]],"mmmm")</f>
        <v>April</v>
      </c>
      <c r="D66" s="4" t="str">
        <f>TEXT(Table13[[#This Row],[Order Date]],"dddd")</f>
        <v>Monday</v>
      </c>
      <c r="E66" t="s">
        <v>254</v>
      </c>
      <c r="F66" t="s">
        <v>315</v>
      </c>
      <c r="G66" t="s">
        <v>327</v>
      </c>
      <c r="H66">
        <v>4</v>
      </c>
      <c r="I66" s="8">
        <v>7500</v>
      </c>
      <c r="J66" s="10">
        <f>Table13[[#This Row],[Unit Price]]*Table13[[#This Row],[Quantity]]</f>
        <v>30000</v>
      </c>
      <c r="K66" s="6">
        <v>0</v>
      </c>
      <c r="L66" s="10">
        <f>Table13[[#This Row],[Gross Sales]]*Table13[[#This Row],[Discount]]</f>
        <v>0</v>
      </c>
      <c r="M66" s="10">
        <f>Table13[[#This Row],[Gross Sales]]-Table13[[#This Row],[Discount Amount]]</f>
        <v>30000</v>
      </c>
      <c r="N66" s="8">
        <v>6300</v>
      </c>
      <c r="O66" s="8">
        <f>Table13[[#This Row],[Unit Cost]]*Table13[[#This Row],[Quantity]]</f>
        <v>25200</v>
      </c>
      <c r="P66" s="8">
        <f>Table13[[#This Row],[Total Sales]]-Table13[[#This Row],[Total Cost]]</f>
        <v>4800</v>
      </c>
      <c r="Q66" s="12">
        <f>Table13[[#This Row],[Profit]]/Table13[[#This Row],[Total Sales]]</f>
        <v>0.16</v>
      </c>
      <c r="R66" t="s">
        <v>334</v>
      </c>
      <c r="S66" t="s">
        <v>339</v>
      </c>
    </row>
    <row r="67" spans="1:19" x14ac:dyDescent="0.25">
      <c r="A67" t="s">
        <v>76</v>
      </c>
      <c r="B67" s="14">
        <v>45756</v>
      </c>
      <c r="C67" s="4" t="str">
        <f>TEXT(Table13[[#This Row],[Order Date]],"mmmm")</f>
        <v>April</v>
      </c>
      <c r="D67" s="4" t="str">
        <f>TEXT(Table13[[#This Row],[Order Date]],"dddd")</f>
        <v>Wednesday</v>
      </c>
      <c r="E67" t="s">
        <v>284</v>
      </c>
      <c r="F67" t="s">
        <v>315</v>
      </c>
      <c r="G67" t="s">
        <v>324</v>
      </c>
      <c r="H67">
        <v>5</v>
      </c>
      <c r="I67" s="8">
        <v>9000</v>
      </c>
      <c r="J67" s="10">
        <f>Table13[[#This Row],[Unit Price]]*Table13[[#This Row],[Quantity]]</f>
        <v>45000</v>
      </c>
      <c r="K67" s="6">
        <v>0.05</v>
      </c>
      <c r="L67" s="10">
        <f>Table13[[#This Row],[Gross Sales]]*Table13[[#This Row],[Discount]]</f>
        <v>2250</v>
      </c>
      <c r="M67" s="10">
        <f>Table13[[#This Row],[Gross Sales]]-Table13[[#This Row],[Discount Amount]]</f>
        <v>42750</v>
      </c>
      <c r="N67" s="8">
        <v>7600</v>
      </c>
      <c r="O67" s="8">
        <f>Table13[[#This Row],[Unit Cost]]*Table13[[#This Row],[Quantity]]</f>
        <v>38000</v>
      </c>
      <c r="P67" s="8">
        <f>Table13[[#This Row],[Total Sales]]-Table13[[#This Row],[Total Cost]]</f>
        <v>4750</v>
      </c>
      <c r="Q67" s="12">
        <f>Table13[[#This Row],[Profit]]/Table13[[#This Row],[Total Sales]]</f>
        <v>0.1111111111111111</v>
      </c>
      <c r="R67" t="s">
        <v>334</v>
      </c>
      <c r="S67" t="s">
        <v>336</v>
      </c>
    </row>
    <row r="68" spans="1:19" x14ac:dyDescent="0.25">
      <c r="A68" t="s">
        <v>77</v>
      </c>
      <c r="B68" s="14">
        <v>45757</v>
      </c>
      <c r="C68" s="4" t="str">
        <f>TEXT(Table13[[#This Row],[Order Date]],"mmmm")</f>
        <v>April</v>
      </c>
      <c r="D68" s="4" t="str">
        <f>TEXT(Table13[[#This Row],[Order Date]],"dddd")</f>
        <v>Thursday</v>
      </c>
      <c r="E68" t="s">
        <v>296</v>
      </c>
      <c r="F68" t="s">
        <v>319</v>
      </c>
      <c r="G68" t="s">
        <v>325</v>
      </c>
      <c r="H68">
        <v>1</v>
      </c>
      <c r="I68" s="8">
        <v>8500</v>
      </c>
      <c r="J68" s="10">
        <f>Table13[[#This Row],[Unit Price]]*Table13[[#This Row],[Quantity]]</f>
        <v>8500</v>
      </c>
      <c r="K68" s="6">
        <v>0</v>
      </c>
      <c r="L68" s="10">
        <f>Table13[[#This Row],[Gross Sales]]*Table13[[#This Row],[Discount]]</f>
        <v>0</v>
      </c>
      <c r="M68" s="10">
        <f>Table13[[#This Row],[Gross Sales]]-Table13[[#This Row],[Discount Amount]]</f>
        <v>8500</v>
      </c>
      <c r="N68" s="8">
        <v>7000</v>
      </c>
      <c r="O68" s="8">
        <f>Table13[[#This Row],[Unit Cost]]*Table13[[#This Row],[Quantity]]</f>
        <v>7000</v>
      </c>
      <c r="P68" s="8">
        <f>Table13[[#This Row],[Total Sales]]-Table13[[#This Row],[Total Cost]]</f>
        <v>1500</v>
      </c>
      <c r="Q68" s="12">
        <f>Table13[[#This Row],[Profit]]/Table13[[#This Row],[Total Sales]]</f>
        <v>0.17647058823529413</v>
      </c>
      <c r="R68" t="s">
        <v>344</v>
      </c>
      <c r="S68" t="s">
        <v>339</v>
      </c>
    </row>
    <row r="69" spans="1:19" x14ac:dyDescent="0.25">
      <c r="A69" t="s">
        <v>78</v>
      </c>
      <c r="B69" s="14">
        <v>45759</v>
      </c>
      <c r="C69" s="4" t="str">
        <f>TEXT(Table13[[#This Row],[Order Date]],"mmmm")</f>
        <v>April</v>
      </c>
      <c r="D69" s="4" t="str">
        <f>TEXT(Table13[[#This Row],[Order Date]],"dddd")</f>
        <v>Saturday</v>
      </c>
      <c r="E69" t="s">
        <v>284</v>
      </c>
      <c r="F69" t="s">
        <v>315</v>
      </c>
      <c r="G69" t="s">
        <v>325</v>
      </c>
      <c r="H69">
        <v>5</v>
      </c>
      <c r="I69" s="8">
        <v>8500</v>
      </c>
      <c r="J69" s="10">
        <f>Table13[[#This Row],[Unit Price]]*Table13[[#This Row],[Quantity]]</f>
        <v>42500</v>
      </c>
      <c r="K69" s="6">
        <v>0</v>
      </c>
      <c r="L69" s="10">
        <f>Table13[[#This Row],[Gross Sales]]*Table13[[#This Row],[Discount]]</f>
        <v>0</v>
      </c>
      <c r="M69" s="10">
        <f>Table13[[#This Row],[Gross Sales]]-Table13[[#This Row],[Discount Amount]]</f>
        <v>42500</v>
      </c>
      <c r="N69" s="8">
        <v>7000</v>
      </c>
      <c r="O69" s="8">
        <f>Table13[[#This Row],[Unit Cost]]*Table13[[#This Row],[Quantity]]</f>
        <v>35000</v>
      </c>
      <c r="P69" s="8">
        <f>Table13[[#This Row],[Total Sales]]-Table13[[#This Row],[Total Cost]]</f>
        <v>7500</v>
      </c>
      <c r="Q69" s="12">
        <f>Table13[[#This Row],[Profit]]/Table13[[#This Row],[Total Sales]]</f>
        <v>0.17647058823529413</v>
      </c>
      <c r="R69" t="s">
        <v>344</v>
      </c>
      <c r="S69" t="s">
        <v>336</v>
      </c>
    </row>
    <row r="70" spans="1:19" x14ac:dyDescent="0.25">
      <c r="A70" t="s">
        <v>79</v>
      </c>
      <c r="B70" s="14">
        <v>45760</v>
      </c>
      <c r="C70" s="4" t="str">
        <f>TEXT(Table13[[#This Row],[Order Date]],"mmmm")</f>
        <v>April</v>
      </c>
      <c r="D70" s="4" t="str">
        <f>TEXT(Table13[[#This Row],[Order Date]],"dddd")</f>
        <v>Sunday</v>
      </c>
      <c r="E70" t="s">
        <v>297</v>
      </c>
      <c r="F70" t="s">
        <v>319</v>
      </c>
      <c r="G70" t="s">
        <v>325</v>
      </c>
      <c r="H70">
        <v>4</v>
      </c>
      <c r="I70" s="8">
        <v>8500</v>
      </c>
      <c r="J70" s="10">
        <f>Table13[[#This Row],[Unit Price]]*Table13[[#This Row],[Quantity]]</f>
        <v>34000</v>
      </c>
      <c r="K70" s="6">
        <v>0</v>
      </c>
      <c r="L70" s="10">
        <f>Table13[[#This Row],[Gross Sales]]*Table13[[#This Row],[Discount]]</f>
        <v>0</v>
      </c>
      <c r="M70" s="10">
        <f>Table13[[#This Row],[Gross Sales]]-Table13[[#This Row],[Discount Amount]]</f>
        <v>34000</v>
      </c>
      <c r="N70" s="8">
        <v>7000</v>
      </c>
      <c r="O70" s="8">
        <f>Table13[[#This Row],[Unit Cost]]*Table13[[#This Row],[Quantity]]</f>
        <v>28000</v>
      </c>
      <c r="P70" s="8">
        <f>Table13[[#This Row],[Total Sales]]-Table13[[#This Row],[Total Cost]]</f>
        <v>6000</v>
      </c>
      <c r="Q70" s="12">
        <f>Table13[[#This Row],[Profit]]/Table13[[#This Row],[Total Sales]]</f>
        <v>0.17647058823529413</v>
      </c>
      <c r="R70" t="s">
        <v>344</v>
      </c>
      <c r="S70" t="s">
        <v>336</v>
      </c>
    </row>
    <row r="71" spans="1:19" x14ac:dyDescent="0.25">
      <c r="A71" t="s">
        <v>80</v>
      </c>
      <c r="B71" s="14">
        <v>45762</v>
      </c>
      <c r="C71" s="4" t="str">
        <f>TEXT(Table13[[#This Row],[Order Date]],"mmmm")</f>
        <v>April</v>
      </c>
      <c r="D71" s="4" t="str">
        <f>TEXT(Table13[[#This Row],[Order Date]],"dddd")</f>
        <v>Tuesday</v>
      </c>
      <c r="E71" t="s">
        <v>286</v>
      </c>
      <c r="F71" t="s">
        <v>315</v>
      </c>
      <c r="G71" t="s">
        <v>329</v>
      </c>
      <c r="H71">
        <v>1</v>
      </c>
      <c r="I71" s="8">
        <v>1200</v>
      </c>
      <c r="J71" s="10">
        <f>Table13[[#This Row],[Unit Price]]*Table13[[#This Row],[Quantity]]</f>
        <v>1200</v>
      </c>
      <c r="K71" s="6">
        <v>0</v>
      </c>
      <c r="L71" s="10">
        <f>Table13[[#This Row],[Gross Sales]]*Table13[[#This Row],[Discount]]</f>
        <v>0</v>
      </c>
      <c r="M71" s="10">
        <f>Table13[[#This Row],[Gross Sales]]-Table13[[#This Row],[Discount Amount]]</f>
        <v>1200</v>
      </c>
      <c r="N71" s="8">
        <v>900</v>
      </c>
      <c r="O71" s="8">
        <f>Table13[[#This Row],[Unit Cost]]*Table13[[#This Row],[Quantity]]</f>
        <v>900</v>
      </c>
      <c r="P71" s="8">
        <f>Table13[[#This Row],[Total Sales]]-Table13[[#This Row],[Total Cost]]</f>
        <v>300</v>
      </c>
      <c r="Q71" s="12">
        <f>Table13[[#This Row],[Profit]]/Table13[[#This Row],[Total Sales]]</f>
        <v>0.25</v>
      </c>
      <c r="R71" t="s">
        <v>332</v>
      </c>
      <c r="S71" t="s">
        <v>337</v>
      </c>
    </row>
    <row r="72" spans="1:19" x14ac:dyDescent="0.25">
      <c r="A72" t="s">
        <v>81</v>
      </c>
      <c r="B72" s="14">
        <v>45763</v>
      </c>
      <c r="C72" s="4" t="str">
        <f>TEXT(Table13[[#This Row],[Order Date]],"mmmm")</f>
        <v>April</v>
      </c>
      <c r="D72" s="4" t="str">
        <f>TEXT(Table13[[#This Row],[Order Date]],"dddd")</f>
        <v>Wednesday</v>
      </c>
      <c r="E72" t="s">
        <v>252</v>
      </c>
      <c r="F72" t="s">
        <v>315</v>
      </c>
      <c r="G72" t="s">
        <v>325</v>
      </c>
      <c r="H72">
        <v>1</v>
      </c>
      <c r="I72" s="8">
        <v>8500</v>
      </c>
      <c r="J72" s="10">
        <f>Table13[[#This Row],[Unit Price]]*Table13[[#This Row],[Quantity]]</f>
        <v>8500</v>
      </c>
      <c r="K72" s="6">
        <v>0.05</v>
      </c>
      <c r="L72" s="10">
        <f>Table13[[#This Row],[Gross Sales]]*Table13[[#This Row],[Discount]]</f>
        <v>425</v>
      </c>
      <c r="M72" s="10">
        <f>Table13[[#This Row],[Gross Sales]]-Table13[[#This Row],[Discount Amount]]</f>
        <v>8075</v>
      </c>
      <c r="N72" s="8">
        <v>7000</v>
      </c>
      <c r="O72" s="8">
        <f>Table13[[#This Row],[Unit Cost]]*Table13[[#This Row],[Quantity]]</f>
        <v>7000</v>
      </c>
      <c r="P72" s="8">
        <f>Table13[[#This Row],[Total Sales]]-Table13[[#This Row],[Total Cost]]</f>
        <v>1075</v>
      </c>
      <c r="Q72" s="12">
        <f>Table13[[#This Row],[Profit]]/Table13[[#This Row],[Total Sales]]</f>
        <v>0.13312693498452013</v>
      </c>
      <c r="R72" t="s">
        <v>334</v>
      </c>
      <c r="S72" t="s">
        <v>336</v>
      </c>
    </row>
    <row r="73" spans="1:19" x14ac:dyDescent="0.25">
      <c r="A73" t="s">
        <v>82</v>
      </c>
      <c r="B73" s="14">
        <v>45765</v>
      </c>
      <c r="C73" s="4" t="str">
        <f>TEXT(Table13[[#This Row],[Order Date]],"mmmm")</f>
        <v>April</v>
      </c>
      <c r="D73" s="4" t="str">
        <f>TEXT(Table13[[#This Row],[Order Date]],"dddd")</f>
        <v>Friday</v>
      </c>
      <c r="E73" t="s">
        <v>298</v>
      </c>
      <c r="F73" t="s">
        <v>315</v>
      </c>
      <c r="G73" t="s">
        <v>329</v>
      </c>
      <c r="H73">
        <v>4</v>
      </c>
      <c r="I73" s="8">
        <v>1200</v>
      </c>
      <c r="J73" s="10">
        <f>Table13[[#This Row],[Unit Price]]*Table13[[#This Row],[Quantity]]</f>
        <v>4800</v>
      </c>
      <c r="K73" s="6">
        <v>0</v>
      </c>
      <c r="L73" s="10">
        <f>Table13[[#This Row],[Gross Sales]]*Table13[[#This Row],[Discount]]</f>
        <v>0</v>
      </c>
      <c r="M73" s="10">
        <f>Table13[[#This Row],[Gross Sales]]-Table13[[#This Row],[Discount Amount]]</f>
        <v>4800</v>
      </c>
      <c r="N73" s="8">
        <v>900</v>
      </c>
      <c r="O73" s="8">
        <f>Table13[[#This Row],[Unit Cost]]*Table13[[#This Row],[Quantity]]</f>
        <v>3600</v>
      </c>
      <c r="P73" s="8">
        <f>Table13[[#This Row],[Total Sales]]-Table13[[#This Row],[Total Cost]]</f>
        <v>1200</v>
      </c>
      <c r="Q73" s="12">
        <f>Table13[[#This Row],[Profit]]/Table13[[#This Row],[Total Sales]]</f>
        <v>0.25</v>
      </c>
      <c r="R73" t="s">
        <v>330</v>
      </c>
      <c r="S73" t="s">
        <v>336</v>
      </c>
    </row>
    <row r="74" spans="1:19" x14ac:dyDescent="0.25">
      <c r="A74" t="s">
        <v>83</v>
      </c>
      <c r="B74" s="14">
        <v>45766</v>
      </c>
      <c r="C74" s="4" t="str">
        <f>TEXT(Table13[[#This Row],[Order Date]],"mmmm")</f>
        <v>April</v>
      </c>
      <c r="D74" s="4" t="str">
        <f>TEXT(Table13[[#This Row],[Order Date]],"dddd")</f>
        <v>Saturday</v>
      </c>
      <c r="E74" t="s">
        <v>262</v>
      </c>
      <c r="F74" t="s">
        <v>315</v>
      </c>
      <c r="G74" t="s">
        <v>325</v>
      </c>
      <c r="H74">
        <v>6</v>
      </c>
      <c r="I74" s="8">
        <v>8500</v>
      </c>
      <c r="J74" s="10">
        <f>Table13[[#This Row],[Unit Price]]*Table13[[#This Row],[Quantity]]</f>
        <v>51000</v>
      </c>
      <c r="K74" s="6">
        <v>0</v>
      </c>
      <c r="L74" s="10">
        <f>Table13[[#This Row],[Gross Sales]]*Table13[[#This Row],[Discount]]</f>
        <v>0</v>
      </c>
      <c r="M74" s="10">
        <f>Table13[[#This Row],[Gross Sales]]-Table13[[#This Row],[Discount Amount]]</f>
        <v>51000</v>
      </c>
      <c r="N74" s="8">
        <v>7000</v>
      </c>
      <c r="O74" s="8">
        <f>Table13[[#This Row],[Unit Cost]]*Table13[[#This Row],[Quantity]]</f>
        <v>42000</v>
      </c>
      <c r="P74" s="8">
        <f>Table13[[#This Row],[Total Sales]]-Table13[[#This Row],[Total Cost]]</f>
        <v>9000</v>
      </c>
      <c r="Q74" s="12">
        <f>Table13[[#This Row],[Profit]]/Table13[[#This Row],[Total Sales]]</f>
        <v>0.17647058823529413</v>
      </c>
      <c r="R74" t="s">
        <v>334</v>
      </c>
      <c r="S74" t="s">
        <v>336</v>
      </c>
    </row>
    <row r="75" spans="1:19" x14ac:dyDescent="0.25">
      <c r="A75" t="s">
        <v>84</v>
      </c>
      <c r="B75" s="14">
        <v>45768</v>
      </c>
      <c r="C75" s="4" t="str">
        <f>TEXT(Table13[[#This Row],[Order Date]],"mmmm")</f>
        <v>April</v>
      </c>
      <c r="D75" s="4" t="str">
        <f>TEXT(Table13[[#This Row],[Order Date]],"dddd")</f>
        <v>Monday</v>
      </c>
      <c r="E75" t="s">
        <v>271</v>
      </c>
      <c r="F75" t="s">
        <v>319</v>
      </c>
      <c r="G75" t="s">
        <v>324</v>
      </c>
      <c r="H75">
        <v>6</v>
      </c>
      <c r="I75" s="8">
        <v>9000</v>
      </c>
      <c r="J75" s="10">
        <f>Table13[[#This Row],[Unit Price]]*Table13[[#This Row],[Quantity]]</f>
        <v>54000</v>
      </c>
      <c r="K75" s="6">
        <v>0.1</v>
      </c>
      <c r="L75" s="10">
        <f>Table13[[#This Row],[Gross Sales]]*Table13[[#This Row],[Discount]]</f>
        <v>5400</v>
      </c>
      <c r="M75" s="10">
        <f>Table13[[#This Row],[Gross Sales]]-Table13[[#This Row],[Discount Amount]]</f>
        <v>48600</v>
      </c>
      <c r="N75" s="8">
        <v>7600</v>
      </c>
      <c r="O75" s="8">
        <f>Table13[[#This Row],[Unit Cost]]*Table13[[#This Row],[Quantity]]</f>
        <v>45600</v>
      </c>
      <c r="P75" s="8">
        <f>Table13[[#This Row],[Total Sales]]-Table13[[#This Row],[Total Cost]]</f>
        <v>3000</v>
      </c>
      <c r="Q75" s="12">
        <f>Table13[[#This Row],[Profit]]/Table13[[#This Row],[Total Sales]]</f>
        <v>6.1728395061728392E-2</v>
      </c>
      <c r="R75" t="s">
        <v>330</v>
      </c>
      <c r="S75" t="s">
        <v>337</v>
      </c>
    </row>
    <row r="76" spans="1:19" x14ac:dyDescent="0.25">
      <c r="A76" t="s">
        <v>85</v>
      </c>
      <c r="B76" s="14">
        <v>45769</v>
      </c>
      <c r="C76" s="4" t="str">
        <f>TEXT(Table13[[#This Row],[Order Date]],"mmmm")</f>
        <v>April</v>
      </c>
      <c r="D76" s="4" t="str">
        <f>TEXT(Table13[[#This Row],[Order Date]],"dddd")</f>
        <v>Tuesday</v>
      </c>
      <c r="E76" t="s">
        <v>299</v>
      </c>
      <c r="F76" t="s">
        <v>319</v>
      </c>
      <c r="G76" t="s">
        <v>327</v>
      </c>
      <c r="H76">
        <v>4</v>
      </c>
      <c r="I76" s="8">
        <v>7500</v>
      </c>
      <c r="J76" s="10">
        <f>Table13[[#This Row],[Unit Price]]*Table13[[#This Row],[Quantity]]</f>
        <v>30000</v>
      </c>
      <c r="K76" s="6">
        <v>0</v>
      </c>
      <c r="L76" s="10">
        <f>Table13[[#This Row],[Gross Sales]]*Table13[[#This Row],[Discount]]</f>
        <v>0</v>
      </c>
      <c r="M76" s="10">
        <f>Table13[[#This Row],[Gross Sales]]-Table13[[#This Row],[Discount Amount]]</f>
        <v>30000</v>
      </c>
      <c r="N76" s="8">
        <v>6300</v>
      </c>
      <c r="O76" s="8">
        <f>Table13[[#This Row],[Unit Cost]]*Table13[[#This Row],[Quantity]]</f>
        <v>25200</v>
      </c>
      <c r="P76" s="8">
        <f>Table13[[#This Row],[Total Sales]]-Table13[[#This Row],[Total Cost]]</f>
        <v>4800</v>
      </c>
      <c r="Q76" s="12">
        <f>Table13[[#This Row],[Profit]]/Table13[[#This Row],[Total Sales]]</f>
        <v>0.16</v>
      </c>
      <c r="R76" t="s">
        <v>334</v>
      </c>
      <c r="S76" t="s">
        <v>336</v>
      </c>
    </row>
    <row r="77" spans="1:19" x14ac:dyDescent="0.25">
      <c r="A77" t="s">
        <v>86</v>
      </c>
      <c r="B77" s="14">
        <v>45771</v>
      </c>
      <c r="C77" s="4" t="str">
        <f>TEXT(Table13[[#This Row],[Order Date]],"mmmm")</f>
        <v>April</v>
      </c>
      <c r="D77" s="4" t="str">
        <f>TEXT(Table13[[#This Row],[Order Date]],"dddd")</f>
        <v>Thursday</v>
      </c>
      <c r="E77" t="s">
        <v>275</v>
      </c>
      <c r="F77" t="s">
        <v>315</v>
      </c>
      <c r="G77" t="s">
        <v>325</v>
      </c>
      <c r="H77">
        <v>3</v>
      </c>
      <c r="I77" s="8">
        <v>8500</v>
      </c>
      <c r="J77" s="10">
        <f>Table13[[#This Row],[Unit Price]]*Table13[[#This Row],[Quantity]]</f>
        <v>25500</v>
      </c>
      <c r="K77" s="6">
        <v>0</v>
      </c>
      <c r="L77" s="10">
        <f>Table13[[#This Row],[Gross Sales]]*Table13[[#This Row],[Discount]]</f>
        <v>0</v>
      </c>
      <c r="M77" s="10">
        <f>Table13[[#This Row],[Gross Sales]]-Table13[[#This Row],[Discount Amount]]</f>
        <v>25500</v>
      </c>
      <c r="N77" s="8">
        <v>7000</v>
      </c>
      <c r="O77" s="8">
        <f>Table13[[#This Row],[Unit Cost]]*Table13[[#This Row],[Quantity]]</f>
        <v>21000</v>
      </c>
      <c r="P77" s="8">
        <f>Table13[[#This Row],[Total Sales]]-Table13[[#This Row],[Total Cost]]</f>
        <v>4500</v>
      </c>
      <c r="Q77" s="12">
        <f>Table13[[#This Row],[Profit]]/Table13[[#This Row],[Total Sales]]</f>
        <v>0.17647058823529413</v>
      </c>
      <c r="R77" t="s">
        <v>344</v>
      </c>
      <c r="S77" t="s">
        <v>336</v>
      </c>
    </row>
    <row r="78" spans="1:19" x14ac:dyDescent="0.25">
      <c r="A78" t="s">
        <v>87</v>
      </c>
      <c r="B78" s="14">
        <v>45772</v>
      </c>
      <c r="C78" s="4" t="str">
        <f>TEXT(Table13[[#This Row],[Order Date]],"mmmm")</f>
        <v>April</v>
      </c>
      <c r="D78" s="4" t="str">
        <f>TEXT(Table13[[#This Row],[Order Date]],"dddd")</f>
        <v>Friday</v>
      </c>
      <c r="E78" t="s">
        <v>300</v>
      </c>
      <c r="F78" t="s">
        <v>315</v>
      </c>
      <c r="G78" t="s">
        <v>326</v>
      </c>
      <c r="H78">
        <v>7</v>
      </c>
      <c r="I78" s="8">
        <v>1800</v>
      </c>
      <c r="J78" s="10">
        <f>Table13[[#This Row],[Unit Price]]*Table13[[#This Row],[Quantity]]</f>
        <v>12600</v>
      </c>
      <c r="K78" s="6">
        <v>0</v>
      </c>
      <c r="L78" s="10">
        <f>Table13[[#This Row],[Gross Sales]]*Table13[[#This Row],[Discount]]</f>
        <v>0</v>
      </c>
      <c r="M78" s="10">
        <f>Table13[[#This Row],[Gross Sales]]-Table13[[#This Row],[Discount Amount]]</f>
        <v>12600</v>
      </c>
      <c r="N78" s="8">
        <v>1400</v>
      </c>
      <c r="O78" s="8">
        <f>Table13[[#This Row],[Unit Cost]]*Table13[[#This Row],[Quantity]]</f>
        <v>9800</v>
      </c>
      <c r="P78" s="8">
        <f>Table13[[#This Row],[Total Sales]]-Table13[[#This Row],[Total Cost]]</f>
        <v>2800</v>
      </c>
      <c r="Q78" s="12">
        <f>Table13[[#This Row],[Profit]]/Table13[[#This Row],[Total Sales]]</f>
        <v>0.22222222222222221</v>
      </c>
      <c r="R78" t="s">
        <v>332</v>
      </c>
      <c r="S78" t="s">
        <v>339</v>
      </c>
    </row>
    <row r="79" spans="1:19" x14ac:dyDescent="0.25">
      <c r="A79" t="s">
        <v>88</v>
      </c>
      <c r="B79" s="14">
        <v>45774</v>
      </c>
      <c r="C79" s="4" t="str">
        <f>TEXT(Table13[[#This Row],[Order Date]],"mmmm")</f>
        <v>April</v>
      </c>
      <c r="D79" s="4" t="str">
        <f>TEXT(Table13[[#This Row],[Order Date]],"dddd")</f>
        <v>Sunday</v>
      </c>
      <c r="E79" t="s">
        <v>301</v>
      </c>
      <c r="F79" t="s">
        <v>315</v>
      </c>
      <c r="G79" t="s">
        <v>324</v>
      </c>
      <c r="H79">
        <v>4</v>
      </c>
      <c r="I79" s="8">
        <v>9000</v>
      </c>
      <c r="J79" s="10">
        <f>Table13[[#This Row],[Unit Price]]*Table13[[#This Row],[Quantity]]</f>
        <v>36000</v>
      </c>
      <c r="K79" s="6">
        <v>0.05</v>
      </c>
      <c r="L79" s="10">
        <f>Table13[[#This Row],[Gross Sales]]*Table13[[#This Row],[Discount]]</f>
        <v>1800</v>
      </c>
      <c r="M79" s="10">
        <f>Table13[[#This Row],[Gross Sales]]-Table13[[#This Row],[Discount Amount]]</f>
        <v>34200</v>
      </c>
      <c r="N79" s="8">
        <v>7600</v>
      </c>
      <c r="O79" s="8">
        <f>Table13[[#This Row],[Unit Cost]]*Table13[[#This Row],[Quantity]]</f>
        <v>30400</v>
      </c>
      <c r="P79" s="8">
        <f>Table13[[#This Row],[Total Sales]]-Table13[[#This Row],[Total Cost]]</f>
        <v>3800</v>
      </c>
      <c r="Q79" s="12">
        <f>Table13[[#This Row],[Profit]]/Table13[[#This Row],[Total Sales]]</f>
        <v>0.1111111111111111</v>
      </c>
      <c r="R79" t="s">
        <v>334</v>
      </c>
      <c r="S79" t="s">
        <v>337</v>
      </c>
    </row>
    <row r="80" spans="1:19" x14ac:dyDescent="0.25">
      <c r="A80" t="s">
        <v>89</v>
      </c>
      <c r="B80" s="14">
        <v>45775</v>
      </c>
      <c r="C80" s="4" t="str">
        <f>TEXT(Table13[[#This Row],[Order Date]],"mmmm")</f>
        <v>April</v>
      </c>
      <c r="D80" s="4" t="str">
        <f>TEXT(Table13[[#This Row],[Order Date]],"dddd")</f>
        <v>Monday</v>
      </c>
      <c r="E80" t="s">
        <v>280</v>
      </c>
      <c r="F80" t="s">
        <v>321</v>
      </c>
      <c r="G80" t="s">
        <v>325</v>
      </c>
      <c r="H80">
        <v>3</v>
      </c>
      <c r="I80" s="8">
        <v>8500</v>
      </c>
      <c r="J80" s="10">
        <f>Table13[[#This Row],[Unit Price]]*Table13[[#This Row],[Quantity]]</f>
        <v>25500</v>
      </c>
      <c r="K80" s="6">
        <v>0</v>
      </c>
      <c r="L80" s="10">
        <f>Table13[[#This Row],[Gross Sales]]*Table13[[#This Row],[Discount]]</f>
        <v>0</v>
      </c>
      <c r="M80" s="10">
        <f>Table13[[#This Row],[Gross Sales]]-Table13[[#This Row],[Discount Amount]]</f>
        <v>25500</v>
      </c>
      <c r="N80" s="8">
        <v>7000</v>
      </c>
      <c r="O80" s="8">
        <f>Table13[[#This Row],[Unit Cost]]*Table13[[#This Row],[Quantity]]</f>
        <v>21000</v>
      </c>
      <c r="P80" s="8">
        <f>Table13[[#This Row],[Total Sales]]-Table13[[#This Row],[Total Cost]]</f>
        <v>4500</v>
      </c>
      <c r="Q80" s="12">
        <f>Table13[[#This Row],[Profit]]/Table13[[#This Row],[Total Sales]]</f>
        <v>0.17647058823529413</v>
      </c>
      <c r="R80" t="s">
        <v>332</v>
      </c>
      <c r="S80" t="s">
        <v>339</v>
      </c>
    </row>
    <row r="81" spans="1:19" x14ac:dyDescent="0.25">
      <c r="A81" t="s">
        <v>90</v>
      </c>
      <c r="B81" s="14">
        <v>45777</v>
      </c>
      <c r="C81" s="4" t="str">
        <f>TEXT(Table13[[#This Row],[Order Date]],"mmmm")</f>
        <v>April</v>
      </c>
      <c r="D81" s="4" t="str">
        <f>TEXT(Table13[[#This Row],[Order Date]],"dddd")</f>
        <v>Wednesday</v>
      </c>
      <c r="E81" t="s">
        <v>299</v>
      </c>
      <c r="F81" t="s">
        <v>315</v>
      </c>
      <c r="G81" t="s">
        <v>327</v>
      </c>
      <c r="H81">
        <v>4</v>
      </c>
      <c r="I81" s="8">
        <v>7500</v>
      </c>
      <c r="J81" s="10">
        <f>Table13[[#This Row],[Unit Price]]*Table13[[#This Row],[Quantity]]</f>
        <v>30000</v>
      </c>
      <c r="K81" s="6">
        <v>0.05</v>
      </c>
      <c r="L81" s="10">
        <f>Table13[[#This Row],[Gross Sales]]*Table13[[#This Row],[Discount]]</f>
        <v>1500</v>
      </c>
      <c r="M81" s="10">
        <f>Table13[[#This Row],[Gross Sales]]-Table13[[#This Row],[Discount Amount]]</f>
        <v>28500</v>
      </c>
      <c r="N81" s="8">
        <v>6300</v>
      </c>
      <c r="O81" s="8">
        <f>Table13[[#This Row],[Unit Cost]]*Table13[[#This Row],[Quantity]]</f>
        <v>25200</v>
      </c>
      <c r="P81" s="8">
        <f>Table13[[#This Row],[Total Sales]]-Table13[[#This Row],[Total Cost]]</f>
        <v>3300</v>
      </c>
      <c r="Q81" s="12">
        <f>Table13[[#This Row],[Profit]]/Table13[[#This Row],[Total Sales]]</f>
        <v>0.11578947368421053</v>
      </c>
      <c r="R81" t="s">
        <v>334</v>
      </c>
      <c r="S81" t="s">
        <v>336</v>
      </c>
    </row>
    <row r="82" spans="1:19" x14ac:dyDescent="0.25">
      <c r="A82" t="s">
        <v>91</v>
      </c>
      <c r="B82" s="14">
        <v>45779</v>
      </c>
      <c r="C82" s="4" t="str">
        <f>TEXT(Table13[[#This Row],[Order Date]],"mmmm")</f>
        <v>May</v>
      </c>
      <c r="D82" s="4" t="str">
        <f>TEXT(Table13[[#This Row],[Order Date]],"dddd")</f>
        <v>Friday</v>
      </c>
      <c r="E82" t="s">
        <v>302</v>
      </c>
      <c r="F82" t="s">
        <v>319</v>
      </c>
      <c r="G82" t="s">
        <v>324</v>
      </c>
      <c r="H82">
        <v>1</v>
      </c>
      <c r="I82" s="8">
        <v>9000</v>
      </c>
      <c r="J82" s="10">
        <f>Table13[[#This Row],[Unit Price]]*Table13[[#This Row],[Quantity]]</f>
        <v>9000</v>
      </c>
      <c r="K82" s="6">
        <v>0.1</v>
      </c>
      <c r="L82" s="10">
        <f>Table13[[#This Row],[Gross Sales]]*Table13[[#This Row],[Discount]]</f>
        <v>900</v>
      </c>
      <c r="M82" s="10">
        <f>Table13[[#This Row],[Gross Sales]]-Table13[[#This Row],[Discount Amount]]</f>
        <v>8100</v>
      </c>
      <c r="N82" s="8">
        <v>7600</v>
      </c>
      <c r="O82" s="8">
        <f>Table13[[#This Row],[Unit Cost]]*Table13[[#This Row],[Quantity]]</f>
        <v>7600</v>
      </c>
      <c r="P82" s="8">
        <f>Table13[[#This Row],[Total Sales]]-Table13[[#This Row],[Total Cost]]</f>
        <v>500</v>
      </c>
      <c r="Q82" s="12">
        <f>Table13[[#This Row],[Profit]]/Table13[[#This Row],[Total Sales]]</f>
        <v>6.1728395061728392E-2</v>
      </c>
      <c r="R82" t="s">
        <v>344</v>
      </c>
      <c r="S82" t="s">
        <v>336</v>
      </c>
    </row>
    <row r="83" spans="1:19" x14ac:dyDescent="0.25">
      <c r="A83" t="s">
        <v>92</v>
      </c>
      <c r="B83" s="14">
        <v>45780</v>
      </c>
      <c r="C83" s="4" t="str">
        <f>TEXT(Table13[[#This Row],[Order Date]],"mmmm")</f>
        <v>May</v>
      </c>
      <c r="D83" s="4" t="str">
        <f>TEXT(Table13[[#This Row],[Order Date]],"dddd")</f>
        <v>Saturday</v>
      </c>
      <c r="E83" t="s">
        <v>303</v>
      </c>
      <c r="F83" t="s">
        <v>315</v>
      </c>
      <c r="G83" t="s">
        <v>328</v>
      </c>
      <c r="H83">
        <v>3</v>
      </c>
      <c r="I83" s="8">
        <v>5000</v>
      </c>
      <c r="J83" s="10">
        <f>Table13[[#This Row],[Unit Price]]*Table13[[#This Row],[Quantity]]</f>
        <v>15000</v>
      </c>
      <c r="K83" s="6">
        <v>0</v>
      </c>
      <c r="L83" s="10">
        <f>Table13[[#This Row],[Gross Sales]]*Table13[[#This Row],[Discount]]</f>
        <v>0</v>
      </c>
      <c r="M83" s="10">
        <f>Table13[[#This Row],[Gross Sales]]-Table13[[#This Row],[Discount Amount]]</f>
        <v>15000</v>
      </c>
      <c r="N83" s="8">
        <v>4000</v>
      </c>
      <c r="O83" s="8">
        <f>Table13[[#This Row],[Unit Cost]]*Table13[[#This Row],[Quantity]]</f>
        <v>12000</v>
      </c>
      <c r="P83" s="8">
        <f>Table13[[#This Row],[Total Sales]]-Table13[[#This Row],[Total Cost]]</f>
        <v>3000</v>
      </c>
      <c r="Q83" s="12">
        <f>Table13[[#This Row],[Profit]]/Table13[[#This Row],[Total Sales]]</f>
        <v>0.2</v>
      </c>
      <c r="R83" t="s">
        <v>334</v>
      </c>
      <c r="S83" t="s">
        <v>337</v>
      </c>
    </row>
    <row r="84" spans="1:19" x14ac:dyDescent="0.25">
      <c r="A84" t="s">
        <v>93</v>
      </c>
      <c r="B84" s="14">
        <v>45782</v>
      </c>
      <c r="C84" s="4" t="str">
        <f>TEXT(Table13[[#This Row],[Order Date]],"mmmm")</f>
        <v>May</v>
      </c>
      <c r="D84" s="4" t="str">
        <f>TEXT(Table13[[#This Row],[Order Date]],"dddd")</f>
        <v>Monday</v>
      </c>
      <c r="E84" t="s">
        <v>304</v>
      </c>
      <c r="F84" t="s">
        <v>315</v>
      </c>
      <c r="G84" t="s">
        <v>324</v>
      </c>
      <c r="H84">
        <v>4</v>
      </c>
      <c r="I84" s="8">
        <v>9000</v>
      </c>
      <c r="J84" s="10">
        <f>Table13[[#This Row],[Unit Price]]*Table13[[#This Row],[Quantity]]</f>
        <v>36000</v>
      </c>
      <c r="K84" s="6">
        <v>0</v>
      </c>
      <c r="L84" s="10">
        <f>Table13[[#This Row],[Gross Sales]]*Table13[[#This Row],[Discount]]</f>
        <v>0</v>
      </c>
      <c r="M84" s="10">
        <f>Table13[[#This Row],[Gross Sales]]-Table13[[#This Row],[Discount Amount]]</f>
        <v>36000</v>
      </c>
      <c r="N84" s="8">
        <v>7600</v>
      </c>
      <c r="O84" s="8">
        <f>Table13[[#This Row],[Unit Cost]]*Table13[[#This Row],[Quantity]]</f>
        <v>30400</v>
      </c>
      <c r="P84" s="8">
        <f>Table13[[#This Row],[Total Sales]]-Table13[[#This Row],[Total Cost]]</f>
        <v>5600</v>
      </c>
      <c r="Q84" s="12">
        <f>Table13[[#This Row],[Profit]]/Table13[[#This Row],[Total Sales]]</f>
        <v>0.15555555555555556</v>
      </c>
      <c r="R84" t="s">
        <v>344</v>
      </c>
      <c r="S84" t="s">
        <v>336</v>
      </c>
    </row>
    <row r="85" spans="1:19" x14ac:dyDescent="0.25">
      <c r="A85" t="s">
        <v>94</v>
      </c>
      <c r="B85" s="14">
        <v>45783</v>
      </c>
      <c r="C85" s="4" t="str">
        <f>TEXT(Table13[[#This Row],[Order Date]],"mmmm")</f>
        <v>May</v>
      </c>
      <c r="D85" s="4" t="str">
        <f>TEXT(Table13[[#This Row],[Order Date]],"dddd")</f>
        <v>Tuesday</v>
      </c>
      <c r="E85" t="s">
        <v>305</v>
      </c>
      <c r="F85" t="s">
        <v>321</v>
      </c>
      <c r="G85" t="s">
        <v>327</v>
      </c>
      <c r="H85">
        <v>7</v>
      </c>
      <c r="I85" s="8">
        <v>7500</v>
      </c>
      <c r="J85" s="10">
        <f>Table13[[#This Row],[Unit Price]]*Table13[[#This Row],[Quantity]]</f>
        <v>52500</v>
      </c>
      <c r="K85" s="6">
        <v>0</v>
      </c>
      <c r="L85" s="10">
        <f>Table13[[#This Row],[Gross Sales]]*Table13[[#This Row],[Discount]]</f>
        <v>0</v>
      </c>
      <c r="M85" s="10">
        <f>Table13[[#This Row],[Gross Sales]]-Table13[[#This Row],[Discount Amount]]</f>
        <v>52500</v>
      </c>
      <c r="N85" s="8">
        <v>6300</v>
      </c>
      <c r="O85" s="8">
        <f>Table13[[#This Row],[Unit Cost]]*Table13[[#This Row],[Quantity]]</f>
        <v>44100</v>
      </c>
      <c r="P85" s="8">
        <f>Table13[[#This Row],[Total Sales]]-Table13[[#This Row],[Total Cost]]</f>
        <v>8400</v>
      </c>
      <c r="Q85" s="12">
        <f>Table13[[#This Row],[Profit]]/Table13[[#This Row],[Total Sales]]</f>
        <v>0.16</v>
      </c>
      <c r="R85" t="s">
        <v>334</v>
      </c>
      <c r="S85" t="s">
        <v>336</v>
      </c>
    </row>
    <row r="86" spans="1:19" x14ac:dyDescent="0.25">
      <c r="A86" t="s">
        <v>95</v>
      </c>
      <c r="B86" s="14">
        <v>45785</v>
      </c>
      <c r="C86" s="4" t="str">
        <f>TEXT(Table13[[#This Row],[Order Date]],"mmmm")</f>
        <v>May</v>
      </c>
      <c r="D86" s="4" t="str">
        <f>TEXT(Table13[[#This Row],[Order Date]],"dddd")</f>
        <v>Thursday</v>
      </c>
      <c r="E86" t="s">
        <v>306</v>
      </c>
      <c r="F86" t="s">
        <v>321</v>
      </c>
      <c r="G86" t="s">
        <v>326</v>
      </c>
      <c r="H86">
        <v>6</v>
      </c>
      <c r="I86" s="8">
        <v>1800</v>
      </c>
      <c r="J86" s="10">
        <f>Table13[[#This Row],[Unit Price]]*Table13[[#This Row],[Quantity]]</f>
        <v>10800</v>
      </c>
      <c r="K86" s="6">
        <v>0</v>
      </c>
      <c r="L86" s="10">
        <f>Table13[[#This Row],[Gross Sales]]*Table13[[#This Row],[Discount]]</f>
        <v>0</v>
      </c>
      <c r="M86" s="10">
        <f>Table13[[#This Row],[Gross Sales]]-Table13[[#This Row],[Discount Amount]]</f>
        <v>10800</v>
      </c>
      <c r="N86" s="8">
        <v>1400</v>
      </c>
      <c r="O86" s="8">
        <f>Table13[[#This Row],[Unit Cost]]*Table13[[#This Row],[Quantity]]</f>
        <v>8400</v>
      </c>
      <c r="P86" s="8">
        <f>Table13[[#This Row],[Total Sales]]-Table13[[#This Row],[Total Cost]]</f>
        <v>2400</v>
      </c>
      <c r="Q86" s="12">
        <f>Table13[[#This Row],[Profit]]/Table13[[#This Row],[Total Sales]]</f>
        <v>0.22222222222222221</v>
      </c>
      <c r="R86" t="s">
        <v>334</v>
      </c>
      <c r="S86" t="s">
        <v>337</v>
      </c>
    </row>
    <row r="87" spans="1:19" x14ac:dyDescent="0.25">
      <c r="A87" t="s">
        <v>96</v>
      </c>
      <c r="B87" s="14">
        <v>45786</v>
      </c>
      <c r="C87" s="4" t="str">
        <f>TEXT(Table13[[#This Row],[Order Date]],"mmmm")</f>
        <v>May</v>
      </c>
      <c r="D87" s="4" t="str">
        <f>TEXT(Table13[[#This Row],[Order Date]],"dddd")</f>
        <v>Friday</v>
      </c>
      <c r="E87" t="s">
        <v>266</v>
      </c>
      <c r="F87" t="s">
        <v>319</v>
      </c>
      <c r="G87" t="s">
        <v>329</v>
      </c>
      <c r="H87">
        <v>6</v>
      </c>
      <c r="I87" s="8">
        <v>1200</v>
      </c>
      <c r="J87" s="10">
        <f>Table13[[#This Row],[Unit Price]]*Table13[[#This Row],[Quantity]]</f>
        <v>7200</v>
      </c>
      <c r="K87" s="6">
        <v>0.1</v>
      </c>
      <c r="L87" s="10">
        <f>Table13[[#This Row],[Gross Sales]]*Table13[[#This Row],[Discount]]</f>
        <v>720</v>
      </c>
      <c r="M87" s="10">
        <f>Table13[[#This Row],[Gross Sales]]-Table13[[#This Row],[Discount Amount]]</f>
        <v>6480</v>
      </c>
      <c r="N87" s="8">
        <v>900</v>
      </c>
      <c r="O87" s="8">
        <f>Table13[[#This Row],[Unit Cost]]*Table13[[#This Row],[Quantity]]</f>
        <v>5400</v>
      </c>
      <c r="P87" s="8">
        <f>Table13[[#This Row],[Total Sales]]-Table13[[#This Row],[Total Cost]]</f>
        <v>1080</v>
      </c>
      <c r="Q87" s="12">
        <f>Table13[[#This Row],[Profit]]/Table13[[#This Row],[Total Sales]]</f>
        <v>0.16666666666666666</v>
      </c>
      <c r="R87" t="s">
        <v>330</v>
      </c>
      <c r="S87" t="s">
        <v>336</v>
      </c>
    </row>
    <row r="88" spans="1:19" x14ac:dyDescent="0.25">
      <c r="A88" t="s">
        <v>97</v>
      </c>
      <c r="B88" s="14">
        <v>45788</v>
      </c>
      <c r="C88" s="4" t="str">
        <f>TEXT(Table13[[#This Row],[Order Date]],"mmmm")</f>
        <v>May</v>
      </c>
      <c r="D88" s="4" t="str">
        <f>TEXT(Table13[[#This Row],[Order Date]],"dddd")</f>
        <v>Sunday</v>
      </c>
      <c r="E88" t="s">
        <v>307</v>
      </c>
      <c r="F88" t="s">
        <v>319</v>
      </c>
      <c r="G88" t="s">
        <v>328</v>
      </c>
      <c r="H88">
        <v>4</v>
      </c>
      <c r="I88" s="8">
        <v>5000</v>
      </c>
      <c r="J88" s="10">
        <f>Table13[[#This Row],[Unit Price]]*Table13[[#This Row],[Quantity]]</f>
        <v>20000</v>
      </c>
      <c r="K88" s="6">
        <v>0</v>
      </c>
      <c r="L88" s="10">
        <f>Table13[[#This Row],[Gross Sales]]*Table13[[#This Row],[Discount]]</f>
        <v>0</v>
      </c>
      <c r="M88" s="10">
        <f>Table13[[#This Row],[Gross Sales]]-Table13[[#This Row],[Discount Amount]]</f>
        <v>20000</v>
      </c>
      <c r="N88" s="8">
        <v>4000</v>
      </c>
      <c r="O88" s="8">
        <f>Table13[[#This Row],[Unit Cost]]*Table13[[#This Row],[Quantity]]</f>
        <v>16000</v>
      </c>
      <c r="P88" s="8">
        <f>Table13[[#This Row],[Total Sales]]-Table13[[#This Row],[Total Cost]]</f>
        <v>4000</v>
      </c>
      <c r="Q88" s="12">
        <f>Table13[[#This Row],[Profit]]/Table13[[#This Row],[Total Sales]]</f>
        <v>0.2</v>
      </c>
      <c r="R88" t="s">
        <v>330</v>
      </c>
      <c r="S88" t="s">
        <v>339</v>
      </c>
    </row>
    <row r="89" spans="1:19" x14ac:dyDescent="0.25">
      <c r="A89" t="s">
        <v>98</v>
      </c>
      <c r="B89" s="14">
        <v>45789</v>
      </c>
      <c r="C89" s="4" t="str">
        <f>TEXT(Table13[[#This Row],[Order Date]],"mmmm")</f>
        <v>May</v>
      </c>
      <c r="D89" s="4" t="str">
        <f>TEXT(Table13[[#This Row],[Order Date]],"dddd")</f>
        <v>Monday</v>
      </c>
      <c r="E89" t="s">
        <v>308</v>
      </c>
      <c r="F89" t="s">
        <v>315</v>
      </c>
      <c r="G89" t="s">
        <v>324</v>
      </c>
      <c r="H89">
        <v>1</v>
      </c>
      <c r="I89" s="8">
        <v>9000</v>
      </c>
      <c r="J89" s="10">
        <f>Table13[[#This Row],[Unit Price]]*Table13[[#This Row],[Quantity]]</f>
        <v>9000</v>
      </c>
      <c r="K89" s="6">
        <v>0</v>
      </c>
      <c r="L89" s="10">
        <f>Table13[[#This Row],[Gross Sales]]*Table13[[#This Row],[Discount]]</f>
        <v>0</v>
      </c>
      <c r="M89" s="10">
        <f>Table13[[#This Row],[Gross Sales]]-Table13[[#This Row],[Discount Amount]]</f>
        <v>9000</v>
      </c>
      <c r="N89" s="8">
        <v>7600</v>
      </c>
      <c r="O89" s="8">
        <f>Table13[[#This Row],[Unit Cost]]*Table13[[#This Row],[Quantity]]</f>
        <v>7600</v>
      </c>
      <c r="P89" s="8">
        <f>Table13[[#This Row],[Total Sales]]-Table13[[#This Row],[Total Cost]]</f>
        <v>1400</v>
      </c>
      <c r="Q89" s="12">
        <f>Table13[[#This Row],[Profit]]/Table13[[#This Row],[Total Sales]]</f>
        <v>0.15555555555555556</v>
      </c>
      <c r="R89" t="s">
        <v>330</v>
      </c>
      <c r="S89" t="s">
        <v>339</v>
      </c>
    </row>
    <row r="90" spans="1:19" x14ac:dyDescent="0.25">
      <c r="A90" t="s">
        <v>99</v>
      </c>
      <c r="B90" s="14">
        <v>45791</v>
      </c>
      <c r="C90" s="4" t="str">
        <f>TEXT(Table13[[#This Row],[Order Date]],"mmmm")</f>
        <v>May</v>
      </c>
      <c r="D90" s="4" t="str">
        <f>TEXT(Table13[[#This Row],[Order Date]],"dddd")</f>
        <v>Wednesday</v>
      </c>
      <c r="E90" t="s">
        <v>266</v>
      </c>
      <c r="F90" t="s">
        <v>315</v>
      </c>
      <c r="G90" t="s">
        <v>326</v>
      </c>
      <c r="H90">
        <v>1</v>
      </c>
      <c r="I90" s="8">
        <v>1800</v>
      </c>
      <c r="J90" s="10">
        <f>Table13[[#This Row],[Unit Price]]*Table13[[#This Row],[Quantity]]</f>
        <v>1800</v>
      </c>
      <c r="K90" s="6">
        <v>0</v>
      </c>
      <c r="L90" s="10">
        <f>Table13[[#This Row],[Gross Sales]]*Table13[[#This Row],[Discount]]</f>
        <v>0</v>
      </c>
      <c r="M90" s="10">
        <f>Table13[[#This Row],[Gross Sales]]-Table13[[#This Row],[Discount Amount]]</f>
        <v>1800</v>
      </c>
      <c r="N90" s="8">
        <v>1400</v>
      </c>
      <c r="O90" s="8">
        <f>Table13[[#This Row],[Unit Cost]]*Table13[[#This Row],[Quantity]]</f>
        <v>1400</v>
      </c>
      <c r="P90" s="8">
        <f>Table13[[#This Row],[Total Sales]]-Table13[[#This Row],[Total Cost]]</f>
        <v>400</v>
      </c>
      <c r="Q90" s="12">
        <f>Table13[[#This Row],[Profit]]/Table13[[#This Row],[Total Sales]]</f>
        <v>0.22222222222222221</v>
      </c>
      <c r="R90" t="s">
        <v>332</v>
      </c>
      <c r="S90" t="s">
        <v>339</v>
      </c>
    </row>
    <row r="91" spans="1:19" x14ac:dyDescent="0.25">
      <c r="A91" t="s">
        <v>100</v>
      </c>
      <c r="B91" s="14">
        <v>45792</v>
      </c>
      <c r="C91" s="4" t="str">
        <f>TEXT(Table13[[#This Row],[Order Date]],"mmmm")</f>
        <v>May</v>
      </c>
      <c r="D91" s="4" t="str">
        <f>TEXT(Table13[[#This Row],[Order Date]],"dddd")</f>
        <v>Thursday</v>
      </c>
      <c r="E91" t="s">
        <v>309</v>
      </c>
      <c r="F91" t="s">
        <v>315</v>
      </c>
      <c r="G91" t="s">
        <v>328</v>
      </c>
      <c r="H91">
        <v>7</v>
      </c>
      <c r="I91" s="8">
        <v>5000</v>
      </c>
      <c r="J91" s="10">
        <f>Table13[[#This Row],[Unit Price]]*Table13[[#This Row],[Quantity]]</f>
        <v>35000</v>
      </c>
      <c r="K91" s="6">
        <v>0</v>
      </c>
      <c r="L91" s="10">
        <f>Table13[[#This Row],[Gross Sales]]*Table13[[#This Row],[Discount]]</f>
        <v>0</v>
      </c>
      <c r="M91" s="10">
        <f>Table13[[#This Row],[Gross Sales]]-Table13[[#This Row],[Discount Amount]]</f>
        <v>35000</v>
      </c>
      <c r="N91" s="8">
        <v>4000</v>
      </c>
      <c r="O91" s="8">
        <f>Table13[[#This Row],[Unit Cost]]*Table13[[#This Row],[Quantity]]</f>
        <v>28000</v>
      </c>
      <c r="P91" s="8">
        <f>Table13[[#This Row],[Total Sales]]-Table13[[#This Row],[Total Cost]]</f>
        <v>7000</v>
      </c>
      <c r="Q91" s="12">
        <f>Table13[[#This Row],[Profit]]/Table13[[#This Row],[Total Sales]]</f>
        <v>0.2</v>
      </c>
      <c r="R91" t="s">
        <v>344</v>
      </c>
      <c r="S91" t="s">
        <v>336</v>
      </c>
    </row>
    <row r="92" spans="1:19" x14ac:dyDescent="0.25">
      <c r="A92" t="s">
        <v>101</v>
      </c>
      <c r="B92" s="14">
        <v>45794</v>
      </c>
      <c r="C92" s="4" t="str">
        <f>TEXT(Table13[[#This Row],[Order Date]],"mmmm")</f>
        <v>May</v>
      </c>
      <c r="D92" s="4" t="str">
        <f>TEXT(Table13[[#This Row],[Order Date]],"dddd")</f>
        <v>Saturday</v>
      </c>
      <c r="E92" t="s">
        <v>286</v>
      </c>
      <c r="F92" t="s">
        <v>315</v>
      </c>
      <c r="G92" t="s">
        <v>324</v>
      </c>
      <c r="H92">
        <v>1</v>
      </c>
      <c r="I92" s="8">
        <v>9000</v>
      </c>
      <c r="J92" s="10">
        <f>Table13[[#This Row],[Unit Price]]*Table13[[#This Row],[Quantity]]</f>
        <v>9000</v>
      </c>
      <c r="K92" s="6">
        <v>0</v>
      </c>
      <c r="L92" s="10">
        <f>Table13[[#This Row],[Gross Sales]]*Table13[[#This Row],[Discount]]</f>
        <v>0</v>
      </c>
      <c r="M92" s="10">
        <f>Table13[[#This Row],[Gross Sales]]-Table13[[#This Row],[Discount Amount]]</f>
        <v>9000</v>
      </c>
      <c r="N92" s="8">
        <v>7600</v>
      </c>
      <c r="O92" s="8">
        <f>Table13[[#This Row],[Unit Cost]]*Table13[[#This Row],[Quantity]]</f>
        <v>7600</v>
      </c>
      <c r="P92" s="8">
        <f>Table13[[#This Row],[Total Sales]]-Table13[[#This Row],[Total Cost]]</f>
        <v>1400</v>
      </c>
      <c r="Q92" s="12">
        <f>Table13[[#This Row],[Profit]]/Table13[[#This Row],[Total Sales]]</f>
        <v>0.15555555555555556</v>
      </c>
      <c r="R92" t="s">
        <v>334</v>
      </c>
      <c r="S92" t="s">
        <v>336</v>
      </c>
    </row>
    <row r="93" spans="1:19" x14ac:dyDescent="0.25">
      <c r="A93" t="s">
        <v>102</v>
      </c>
      <c r="B93" s="14">
        <v>45795</v>
      </c>
      <c r="C93" s="4" t="str">
        <f>TEXT(Table13[[#This Row],[Order Date]],"mmmm")</f>
        <v>May</v>
      </c>
      <c r="D93" s="4" t="str">
        <f>TEXT(Table13[[#This Row],[Order Date]],"dddd")</f>
        <v>Sunday</v>
      </c>
      <c r="E93" t="s">
        <v>305</v>
      </c>
      <c r="F93" t="s">
        <v>318</v>
      </c>
      <c r="G93" t="s">
        <v>324</v>
      </c>
      <c r="H93">
        <v>7</v>
      </c>
      <c r="I93" s="8">
        <v>9000</v>
      </c>
      <c r="J93" s="10">
        <f>Table13[[#This Row],[Unit Price]]*Table13[[#This Row],[Quantity]]</f>
        <v>63000</v>
      </c>
      <c r="K93" s="6">
        <v>0.05</v>
      </c>
      <c r="L93" s="10">
        <f>Table13[[#This Row],[Gross Sales]]*Table13[[#This Row],[Discount]]</f>
        <v>3150</v>
      </c>
      <c r="M93" s="10">
        <f>Table13[[#This Row],[Gross Sales]]-Table13[[#This Row],[Discount Amount]]</f>
        <v>59850</v>
      </c>
      <c r="N93" s="8">
        <v>7600</v>
      </c>
      <c r="O93" s="8">
        <f>Table13[[#This Row],[Unit Cost]]*Table13[[#This Row],[Quantity]]</f>
        <v>53200</v>
      </c>
      <c r="P93" s="8">
        <f>Table13[[#This Row],[Total Sales]]-Table13[[#This Row],[Total Cost]]</f>
        <v>6650</v>
      </c>
      <c r="Q93" s="12">
        <f>Table13[[#This Row],[Profit]]/Table13[[#This Row],[Total Sales]]</f>
        <v>0.1111111111111111</v>
      </c>
      <c r="R93" t="s">
        <v>344</v>
      </c>
      <c r="S93" t="s">
        <v>336</v>
      </c>
    </row>
    <row r="94" spans="1:19" x14ac:dyDescent="0.25">
      <c r="A94" t="s">
        <v>103</v>
      </c>
      <c r="B94" s="14">
        <v>45797</v>
      </c>
      <c r="C94" s="4" t="str">
        <f>TEXT(Table13[[#This Row],[Order Date]],"mmmm")</f>
        <v>May</v>
      </c>
      <c r="D94" s="4" t="str">
        <f>TEXT(Table13[[#This Row],[Order Date]],"dddd")</f>
        <v>Tuesday</v>
      </c>
      <c r="E94" t="s">
        <v>309</v>
      </c>
      <c r="F94" t="s">
        <v>319</v>
      </c>
      <c r="G94" t="s">
        <v>327</v>
      </c>
      <c r="H94">
        <v>5</v>
      </c>
      <c r="I94" s="8">
        <v>7500</v>
      </c>
      <c r="J94" s="10">
        <f>Table13[[#This Row],[Unit Price]]*Table13[[#This Row],[Quantity]]</f>
        <v>37500</v>
      </c>
      <c r="K94" s="6">
        <v>0</v>
      </c>
      <c r="L94" s="10">
        <f>Table13[[#This Row],[Gross Sales]]*Table13[[#This Row],[Discount]]</f>
        <v>0</v>
      </c>
      <c r="M94" s="10">
        <f>Table13[[#This Row],[Gross Sales]]-Table13[[#This Row],[Discount Amount]]</f>
        <v>37500</v>
      </c>
      <c r="N94" s="8">
        <v>6300</v>
      </c>
      <c r="O94" s="8">
        <f>Table13[[#This Row],[Unit Cost]]*Table13[[#This Row],[Quantity]]</f>
        <v>31500</v>
      </c>
      <c r="P94" s="8">
        <f>Table13[[#This Row],[Total Sales]]-Table13[[#This Row],[Total Cost]]</f>
        <v>6000</v>
      </c>
      <c r="Q94" s="12">
        <f>Table13[[#This Row],[Profit]]/Table13[[#This Row],[Total Sales]]</f>
        <v>0.16</v>
      </c>
      <c r="R94" t="s">
        <v>330</v>
      </c>
      <c r="S94" t="s">
        <v>336</v>
      </c>
    </row>
    <row r="95" spans="1:19" x14ac:dyDescent="0.25">
      <c r="A95" t="s">
        <v>104</v>
      </c>
      <c r="B95" s="14">
        <v>45798</v>
      </c>
      <c r="C95" s="4" t="str">
        <f>TEXT(Table13[[#This Row],[Order Date]],"mmmm")</f>
        <v>May</v>
      </c>
      <c r="D95" s="4" t="str">
        <f>TEXT(Table13[[#This Row],[Order Date]],"dddd")</f>
        <v>Wednesday</v>
      </c>
      <c r="E95" t="s">
        <v>284</v>
      </c>
      <c r="F95" t="s">
        <v>315</v>
      </c>
      <c r="G95" t="s">
        <v>325</v>
      </c>
      <c r="H95">
        <v>2</v>
      </c>
      <c r="I95" s="8">
        <v>8500</v>
      </c>
      <c r="J95" s="10">
        <f>Table13[[#This Row],[Unit Price]]*Table13[[#This Row],[Quantity]]</f>
        <v>17000</v>
      </c>
      <c r="K95" s="6">
        <v>0.05</v>
      </c>
      <c r="L95" s="10">
        <f>Table13[[#This Row],[Gross Sales]]*Table13[[#This Row],[Discount]]</f>
        <v>850</v>
      </c>
      <c r="M95" s="10">
        <f>Table13[[#This Row],[Gross Sales]]-Table13[[#This Row],[Discount Amount]]</f>
        <v>16150</v>
      </c>
      <c r="N95" s="8">
        <v>7000</v>
      </c>
      <c r="O95" s="8">
        <f>Table13[[#This Row],[Unit Cost]]*Table13[[#This Row],[Quantity]]</f>
        <v>14000</v>
      </c>
      <c r="P95" s="8">
        <f>Table13[[#This Row],[Total Sales]]-Table13[[#This Row],[Total Cost]]</f>
        <v>2150</v>
      </c>
      <c r="Q95" s="12">
        <f>Table13[[#This Row],[Profit]]/Table13[[#This Row],[Total Sales]]</f>
        <v>0.13312693498452013</v>
      </c>
      <c r="R95" t="s">
        <v>334</v>
      </c>
      <c r="S95" t="s">
        <v>336</v>
      </c>
    </row>
    <row r="96" spans="1:19" x14ac:dyDescent="0.25">
      <c r="A96" t="s">
        <v>105</v>
      </c>
      <c r="B96" s="14">
        <v>45800</v>
      </c>
      <c r="C96" s="4" t="str">
        <f>TEXT(Table13[[#This Row],[Order Date]],"mmmm")</f>
        <v>May</v>
      </c>
      <c r="D96" s="4" t="str">
        <f>TEXT(Table13[[#This Row],[Order Date]],"dddd")</f>
        <v>Friday</v>
      </c>
      <c r="E96" t="s">
        <v>305</v>
      </c>
      <c r="F96" t="s">
        <v>318</v>
      </c>
      <c r="G96" t="s">
        <v>326</v>
      </c>
      <c r="H96">
        <v>6</v>
      </c>
      <c r="I96" s="8">
        <v>1800</v>
      </c>
      <c r="J96" s="10">
        <f>Table13[[#This Row],[Unit Price]]*Table13[[#This Row],[Quantity]]</f>
        <v>10800</v>
      </c>
      <c r="K96" s="6">
        <v>0</v>
      </c>
      <c r="L96" s="10">
        <f>Table13[[#This Row],[Gross Sales]]*Table13[[#This Row],[Discount]]</f>
        <v>0</v>
      </c>
      <c r="M96" s="10">
        <f>Table13[[#This Row],[Gross Sales]]-Table13[[#This Row],[Discount Amount]]</f>
        <v>10800</v>
      </c>
      <c r="N96" s="8">
        <v>1400</v>
      </c>
      <c r="O96" s="8">
        <f>Table13[[#This Row],[Unit Cost]]*Table13[[#This Row],[Quantity]]</f>
        <v>8400</v>
      </c>
      <c r="P96" s="8">
        <f>Table13[[#This Row],[Total Sales]]-Table13[[#This Row],[Total Cost]]</f>
        <v>2400</v>
      </c>
      <c r="Q96" s="12">
        <f>Table13[[#This Row],[Profit]]/Table13[[#This Row],[Total Sales]]</f>
        <v>0.22222222222222221</v>
      </c>
      <c r="R96" t="s">
        <v>334</v>
      </c>
      <c r="S96" t="s">
        <v>337</v>
      </c>
    </row>
    <row r="97" spans="1:19" x14ac:dyDescent="0.25">
      <c r="A97" t="s">
        <v>106</v>
      </c>
      <c r="B97" s="14">
        <v>45801</v>
      </c>
      <c r="C97" s="4" t="str">
        <f>TEXT(Table13[[#This Row],[Order Date]],"mmmm")</f>
        <v>May</v>
      </c>
      <c r="D97" s="4" t="str">
        <f>TEXT(Table13[[#This Row],[Order Date]],"dddd")</f>
        <v>Saturday</v>
      </c>
      <c r="E97" t="s">
        <v>278</v>
      </c>
      <c r="F97" t="s">
        <v>315</v>
      </c>
      <c r="G97" t="s">
        <v>326</v>
      </c>
      <c r="H97">
        <v>6</v>
      </c>
      <c r="I97" s="8">
        <v>1800</v>
      </c>
      <c r="J97" s="10">
        <f>Table13[[#This Row],[Unit Price]]*Table13[[#This Row],[Quantity]]</f>
        <v>10800</v>
      </c>
      <c r="K97" s="6">
        <v>0.1</v>
      </c>
      <c r="L97" s="10">
        <f>Table13[[#This Row],[Gross Sales]]*Table13[[#This Row],[Discount]]</f>
        <v>1080</v>
      </c>
      <c r="M97" s="10">
        <f>Table13[[#This Row],[Gross Sales]]-Table13[[#This Row],[Discount Amount]]</f>
        <v>9720</v>
      </c>
      <c r="N97" s="8">
        <v>1400</v>
      </c>
      <c r="O97" s="8">
        <f>Table13[[#This Row],[Unit Cost]]*Table13[[#This Row],[Quantity]]</f>
        <v>8400</v>
      </c>
      <c r="P97" s="8">
        <f>Table13[[#This Row],[Total Sales]]-Table13[[#This Row],[Total Cost]]</f>
        <v>1320</v>
      </c>
      <c r="Q97" s="12">
        <f>Table13[[#This Row],[Profit]]/Table13[[#This Row],[Total Sales]]</f>
        <v>0.13580246913580246</v>
      </c>
      <c r="R97" t="s">
        <v>330</v>
      </c>
      <c r="S97" t="s">
        <v>336</v>
      </c>
    </row>
    <row r="98" spans="1:19" x14ac:dyDescent="0.25">
      <c r="A98" t="s">
        <v>107</v>
      </c>
      <c r="B98" s="14">
        <v>45803</v>
      </c>
      <c r="C98" s="4" t="str">
        <f>TEXT(Table13[[#This Row],[Order Date]],"mmmm")</f>
        <v>May</v>
      </c>
      <c r="D98" s="4" t="str">
        <f>TEXT(Table13[[#This Row],[Order Date]],"dddd")</f>
        <v>Monday</v>
      </c>
      <c r="E98" t="s">
        <v>301</v>
      </c>
      <c r="F98" t="s">
        <v>321</v>
      </c>
      <c r="G98" t="s">
        <v>324</v>
      </c>
      <c r="H98">
        <v>1</v>
      </c>
      <c r="I98" s="8">
        <v>9000</v>
      </c>
      <c r="J98" s="10">
        <f>Table13[[#This Row],[Unit Price]]*Table13[[#This Row],[Quantity]]</f>
        <v>9000</v>
      </c>
      <c r="K98" s="6">
        <v>0</v>
      </c>
      <c r="L98" s="10">
        <f>Table13[[#This Row],[Gross Sales]]*Table13[[#This Row],[Discount]]</f>
        <v>0</v>
      </c>
      <c r="M98" s="10">
        <f>Table13[[#This Row],[Gross Sales]]-Table13[[#This Row],[Discount Amount]]</f>
        <v>9000</v>
      </c>
      <c r="N98" s="8">
        <v>7600</v>
      </c>
      <c r="O98" s="8">
        <f>Table13[[#This Row],[Unit Cost]]*Table13[[#This Row],[Quantity]]</f>
        <v>7600</v>
      </c>
      <c r="P98" s="8">
        <f>Table13[[#This Row],[Total Sales]]-Table13[[#This Row],[Total Cost]]</f>
        <v>1400</v>
      </c>
      <c r="Q98" s="12">
        <f>Table13[[#This Row],[Profit]]/Table13[[#This Row],[Total Sales]]</f>
        <v>0.15555555555555556</v>
      </c>
      <c r="R98" t="s">
        <v>334</v>
      </c>
      <c r="S98" t="s">
        <v>336</v>
      </c>
    </row>
    <row r="99" spans="1:19" x14ac:dyDescent="0.25">
      <c r="A99" t="s">
        <v>108</v>
      </c>
      <c r="B99" s="14">
        <v>45804</v>
      </c>
      <c r="C99" s="4" t="str">
        <f>TEXT(Table13[[#This Row],[Order Date]],"mmmm")</f>
        <v>May</v>
      </c>
      <c r="D99" s="4" t="str">
        <f>TEXT(Table13[[#This Row],[Order Date]],"dddd")</f>
        <v>Tuesday</v>
      </c>
      <c r="E99" t="s">
        <v>310</v>
      </c>
      <c r="F99" t="s">
        <v>319</v>
      </c>
      <c r="G99" t="s">
        <v>329</v>
      </c>
      <c r="H99">
        <v>1</v>
      </c>
      <c r="I99" s="8">
        <v>1200</v>
      </c>
      <c r="J99" s="10">
        <f>Table13[[#This Row],[Unit Price]]*Table13[[#This Row],[Quantity]]</f>
        <v>1200</v>
      </c>
      <c r="K99" s="6">
        <v>0</v>
      </c>
      <c r="L99" s="10">
        <f>Table13[[#This Row],[Gross Sales]]*Table13[[#This Row],[Discount]]</f>
        <v>0</v>
      </c>
      <c r="M99" s="10">
        <f>Table13[[#This Row],[Gross Sales]]-Table13[[#This Row],[Discount Amount]]</f>
        <v>1200</v>
      </c>
      <c r="N99" s="8">
        <v>900</v>
      </c>
      <c r="O99" s="8">
        <f>Table13[[#This Row],[Unit Cost]]*Table13[[#This Row],[Quantity]]</f>
        <v>900</v>
      </c>
      <c r="P99" s="8">
        <f>Table13[[#This Row],[Total Sales]]-Table13[[#This Row],[Total Cost]]</f>
        <v>300</v>
      </c>
      <c r="Q99" s="12">
        <f>Table13[[#This Row],[Profit]]/Table13[[#This Row],[Total Sales]]</f>
        <v>0.25</v>
      </c>
      <c r="R99" t="s">
        <v>344</v>
      </c>
      <c r="S99" t="s">
        <v>339</v>
      </c>
    </row>
    <row r="100" spans="1:19" x14ac:dyDescent="0.25">
      <c r="A100" t="s">
        <v>109</v>
      </c>
      <c r="B100" s="14">
        <v>45806</v>
      </c>
      <c r="C100" s="4" t="str">
        <f>TEXT(Table13[[#This Row],[Order Date]],"mmmm")</f>
        <v>May</v>
      </c>
      <c r="D100" s="4" t="str">
        <f>TEXT(Table13[[#This Row],[Order Date]],"dddd")</f>
        <v>Thursday</v>
      </c>
      <c r="E100" t="s">
        <v>306</v>
      </c>
      <c r="F100" t="s">
        <v>319</v>
      </c>
      <c r="G100" t="s">
        <v>325</v>
      </c>
      <c r="H100">
        <v>5</v>
      </c>
      <c r="I100" s="8">
        <v>8500</v>
      </c>
      <c r="J100" s="10">
        <f>Table13[[#This Row],[Unit Price]]*Table13[[#This Row],[Quantity]]</f>
        <v>42500</v>
      </c>
      <c r="K100" s="6">
        <v>0</v>
      </c>
      <c r="L100" s="10">
        <f>Table13[[#This Row],[Gross Sales]]*Table13[[#This Row],[Discount]]</f>
        <v>0</v>
      </c>
      <c r="M100" s="10">
        <f>Table13[[#This Row],[Gross Sales]]-Table13[[#This Row],[Discount Amount]]</f>
        <v>42500</v>
      </c>
      <c r="N100" s="8">
        <v>7000</v>
      </c>
      <c r="O100" s="8">
        <f>Table13[[#This Row],[Unit Cost]]*Table13[[#This Row],[Quantity]]</f>
        <v>35000</v>
      </c>
      <c r="P100" s="8">
        <f>Table13[[#This Row],[Total Sales]]-Table13[[#This Row],[Total Cost]]</f>
        <v>7500</v>
      </c>
      <c r="Q100" s="12">
        <f>Table13[[#This Row],[Profit]]/Table13[[#This Row],[Total Sales]]</f>
        <v>0.17647058823529413</v>
      </c>
      <c r="R100" t="s">
        <v>334</v>
      </c>
      <c r="S100" t="s">
        <v>337</v>
      </c>
    </row>
    <row r="101" spans="1:19" x14ac:dyDescent="0.25">
      <c r="A101" t="s">
        <v>110</v>
      </c>
      <c r="B101" s="14">
        <v>45807</v>
      </c>
      <c r="C101" s="4" t="str">
        <f>TEXT(Table13[[#This Row],[Order Date]],"mmmm")</f>
        <v>May</v>
      </c>
      <c r="D101" s="4" t="str">
        <f>TEXT(Table13[[#This Row],[Order Date]],"dddd")</f>
        <v>Friday</v>
      </c>
      <c r="E101" t="s">
        <v>282</v>
      </c>
      <c r="F101" t="s">
        <v>321</v>
      </c>
      <c r="G101" t="s">
        <v>325</v>
      </c>
      <c r="H101">
        <v>7</v>
      </c>
      <c r="I101" s="8">
        <v>8500</v>
      </c>
      <c r="J101" s="10">
        <f>Table13[[#This Row],[Unit Price]]*Table13[[#This Row],[Quantity]]</f>
        <v>59500</v>
      </c>
      <c r="K101" s="6">
        <v>0</v>
      </c>
      <c r="L101" s="10">
        <f>Table13[[#This Row],[Gross Sales]]*Table13[[#This Row],[Discount]]</f>
        <v>0</v>
      </c>
      <c r="M101" s="10">
        <f>Table13[[#This Row],[Gross Sales]]-Table13[[#This Row],[Discount Amount]]</f>
        <v>59500</v>
      </c>
      <c r="N101" s="8">
        <v>7000</v>
      </c>
      <c r="O101" s="8">
        <f>Table13[[#This Row],[Unit Cost]]*Table13[[#This Row],[Quantity]]</f>
        <v>49000</v>
      </c>
      <c r="P101" s="8">
        <f>Table13[[#This Row],[Total Sales]]-Table13[[#This Row],[Total Cost]]</f>
        <v>10500</v>
      </c>
      <c r="Q101" s="12">
        <f>Table13[[#This Row],[Profit]]/Table13[[#This Row],[Total Sales]]</f>
        <v>0.17647058823529413</v>
      </c>
      <c r="R101" t="s">
        <v>334</v>
      </c>
      <c r="S101" t="s">
        <v>337</v>
      </c>
    </row>
    <row r="102" spans="1:19" x14ac:dyDescent="0.25">
      <c r="A102" t="s">
        <v>111</v>
      </c>
      <c r="B102" s="14">
        <v>45809</v>
      </c>
      <c r="C102" s="4" t="str">
        <f>TEXT(Table13[[#This Row],[Order Date]],"mmmm")</f>
        <v>June</v>
      </c>
      <c r="D102" s="4" t="str">
        <f>TEXT(Table13[[#This Row],[Order Date]],"dddd")</f>
        <v>Sunday</v>
      </c>
      <c r="E102" t="s">
        <v>276</v>
      </c>
      <c r="F102" t="s">
        <v>315</v>
      </c>
      <c r="G102" t="s">
        <v>329</v>
      </c>
      <c r="H102">
        <v>1</v>
      </c>
      <c r="I102" s="8">
        <v>1200</v>
      </c>
      <c r="J102" s="10">
        <f>Table13[[#This Row],[Unit Price]]*Table13[[#This Row],[Quantity]]</f>
        <v>1200</v>
      </c>
      <c r="K102" s="6">
        <v>0.05</v>
      </c>
      <c r="L102" s="10">
        <f>Table13[[#This Row],[Gross Sales]]*Table13[[#This Row],[Discount]]</f>
        <v>60</v>
      </c>
      <c r="M102" s="10">
        <f>Table13[[#This Row],[Gross Sales]]-Table13[[#This Row],[Discount Amount]]</f>
        <v>1140</v>
      </c>
      <c r="N102" s="8">
        <v>900</v>
      </c>
      <c r="O102" s="8">
        <f>Table13[[#This Row],[Unit Cost]]*Table13[[#This Row],[Quantity]]</f>
        <v>900</v>
      </c>
      <c r="P102" s="8">
        <f>Table13[[#This Row],[Total Sales]]-Table13[[#This Row],[Total Cost]]</f>
        <v>240</v>
      </c>
      <c r="Q102" s="12">
        <f>Table13[[#This Row],[Profit]]/Table13[[#This Row],[Total Sales]]</f>
        <v>0.21052631578947367</v>
      </c>
      <c r="R102" t="s">
        <v>334</v>
      </c>
      <c r="S102" t="s">
        <v>339</v>
      </c>
    </row>
    <row r="103" spans="1:19" x14ac:dyDescent="0.25">
      <c r="A103" t="s">
        <v>112</v>
      </c>
      <c r="B103" s="14">
        <v>45810</v>
      </c>
      <c r="C103" s="4" t="str">
        <f>TEXT(Table13[[#This Row],[Order Date]],"mmmm")</f>
        <v>June</v>
      </c>
      <c r="D103" s="4" t="str">
        <f>TEXT(Table13[[#This Row],[Order Date]],"dddd")</f>
        <v>Monday</v>
      </c>
      <c r="E103" t="s">
        <v>304</v>
      </c>
      <c r="F103" t="s">
        <v>319</v>
      </c>
      <c r="G103" t="s">
        <v>324</v>
      </c>
      <c r="H103">
        <v>5</v>
      </c>
      <c r="I103" s="8">
        <v>9000</v>
      </c>
      <c r="J103" s="10">
        <f>Table13[[#This Row],[Unit Price]]*Table13[[#This Row],[Quantity]]</f>
        <v>45000</v>
      </c>
      <c r="K103" s="6">
        <v>0</v>
      </c>
      <c r="L103" s="10">
        <f>Table13[[#This Row],[Gross Sales]]*Table13[[#This Row],[Discount]]</f>
        <v>0</v>
      </c>
      <c r="M103" s="10">
        <f>Table13[[#This Row],[Gross Sales]]-Table13[[#This Row],[Discount Amount]]</f>
        <v>45000</v>
      </c>
      <c r="N103" s="8">
        <v>7600</v>
      </c>
      <c r="O103" s="8">
        <f>Table13[[#This Row],[Unit Cost]]*Table13[[#This Row],[Quantity]]</f>
        <v>38000</v>
      </c>
      <c r="P103" s="8">
        <f>Table13[[#This Row],[Total Sales]]-Table13[[#This Row],[Total Cost]]</f>
        <v>7000</v>
      </c>
      <c r="Q103" s="12">
        <f>Table13[[#This Row],[Profit]]/Table13[[#This Row],[Total Sales]]</f>
        <v>0.15555555555555556</v>
      </c>
      <c r="R103" t="s">
        <v>334</v>
      </c>
      <c r="S103" t="s">
        <v>336</v>
      </c>
    </row>
    <row r="104" spans="1:19" x14ac:dyDescent="0.25">
      <c r="A104" t="s">
        <v>113</v>
      </c>
      <c r="B104" s="14">
        <v>45812</v>
      </c>
      <c r="C104" s="4" t="str">
        <f>TEXT(Table13[[#This Row],[Order Date]],"mmmm")</f>
        <v>June</v>
      </c>
      <c r="D104" s="4" t="str">
        <f>TEXT(Table13[[#This Row],[Order Date]],"dddd")</f>
        <v>Wednesday</v>
      </c>
      <c r="E104" t="s">
        <v>305</v>
      </c>
      <c r="F104" t="s">
        <v>315</v>
      </c>
      <c r="G104" t="s">
        <v>329</v>
      </c>
      <c r="H104">
        <v>1</v>
      </c>
      <c r="I104" s="8">
        <v>1200</v>
      </c>
      <c r="J104" s="10">
        <f>Table13[[#This Row],[Unit Price]]*Table13[[#This Row],[Quantity]]</f>
        <v>1200</v>
      </c>
      <c r="K104" s="6">
        <v>0.1</v>
      </c>
      <c r="L104" s="10">
        <f>Table13[[#This Row],[Gross Sales]]*Table13[[#This Row],[Discount]]</f>
        <v>120</v>
      </c>
      <c r="M104" s="10">
        <f>Table13[[#This Row],[Gross Sales]]-Table13[[#This Row],[Discount Amount]]</f>
        <v>1080</v>
      </c>
      <c r="N104" s="8">
        <v>900</v>
      </c>
      <c r="O104" s="8">
        <f>Table13[[#This Row],[Unit Cost]]*Table13[[#This Row],[Quantity]]</f>
        <v>900</v>
      </c>
      <c r="P104" s="8">
        <f>Table13[[#This Row],[Total Sales]]-Table13[[#This Row],[Total Cost]]</f>
        <v>180</v>
      </c>
      <c r="Q104" s="12">
        <f>Table13[[#This Row],[Profit]]/Table13[[#This Row],[Total Sales]]</f>
        <v>0.16666666666666666</v>
      </c>
      <c r="R104" t="s">
        <v>334</v>
      </c>
      <c r="S104" t="s">
        <v>337</v>
      </c>
    </row>
    <row r="105" spans="1:19" x14ac:dyDescent="0.25">
      <c r="A105" t="s">
        <v>114</v>
      </c>
      <c r="B105" s="14">
        <v>45813</v>
      </c>
      <c r="C105" s="4" t="str">
        <f>TEXT(Table13[[#This Row],[Order Date]],"mmmm")</f>
        <v>June</v>
      </c>
      <c r="D105" s="4" t="str">
        <f>TEXT(Table13[[#This Row],[Order Date]],"dddd")</f>
        <v>Thursday</v>
      </c>
      <c r="E105" t="s">
        <v>297</v>
      </c>
      <c r="F105" t="s">
        <v>315</v>
      </c>
      <c r="G105" t="s">
        <v>327</v>
      </c>
      <c r="H105">
        <v>5</v>
      </c>
      <c r="I105" s="8">
        <v>7500</v>
      </c>
      <c r="J105" s="10">
        <f>Table13[[#This Row],[Unit Price]]*Table13[[#This Row],[Quantity]]</f>
        <v>37500</v>
      </c>
      <c r="K105" s="6">
        <v>0</v>
      </c>
      <c r="L105" s="10">
        <f>Table13[[#This Row],[Gross Sales]]*Table13[[#This Row],[Discount]]</f>
        <v>0</v>
      </c>
      <c r="M105" s="10">
        <f>Table13[[#This Row],[Gross Sales]]-Table13[[#This Row],[Discount Amount]]</f>
        <v>37500</v>
      </c>
      <c r="N105" s="8">
        <v>6300</v>
      </c>
      <c r="O105" s="8">
        <f>Table13[[#This Row],[Unit Cost]]*Table13[[#This Row],[Quantity]]</f>
        <v>31500</v>
      </c>
      <c r="P105" s="8">
        <f>Table13[[#This Row],[Total Sales]]-Table13[[#This Row],[Total Cost]]</f>
        <v>6000</v>
      </c>
      <c r="Q105" s="12">
        <f>Table13[[#This Row],[Profit]]/Table13[[#This Row],[Total Sales]]</f>
        <v>0.16</v>
      </c>
      <c r="R105" t="s">
        <v>334</v>
      </c>
      <c r="S105" t="s">
        <v>337</v>
      </c>
    </row>
    <row r="106" spans="1:19" x14ac:dyDescent="0.25">
      <c r="A106" t="s">
        <v>115</v>
      </c>
      <c r="B106" s="14">
        <v>45815</v>
      </c>
      <c r="C106" s="4" t="str">
        <f>TEXT(Table13[[#This Row],[Order Date]],"mmmm")</f>
        <v>June</v>
      </c>
      <c r="D106" s="4" t="str">
        <f>TEXT(Table13[[#This Row],[Order Date]],"dddd")</f>
        <v>Saturday</v>
      </c>
      <c r="E106" t="s">
        <v>252</v>
      </c>
      <c r="F106" t="s">
        <v>321</v>
      </c>
      <c r="G106" t="s">
        <v>325</v>
      </c>
      <c r="H106">
        <v>5</v>
      </c>
      <c r="I106" s="8">
        <v>8500</v>
      </c>
      <c r="J106" s="10">
        <f>Table13[[#This Row],[Unit Price]]*Table13[[#This Row],[Quantity]]</f>
        <v>42500</v>
      </c>
      <c r="K106" s="6">
        <v>0</v>
      </c>
      <c r="L106" s="10">
        <f>Table13[[#This Row],[Gross Sales]]*Table13[[#This Row],[Discount]]</f>
        <v>0</v>
      </c>
      <c r="M106" s="10">
        <f>Table13[[#This Row],[Gross Sales]]-Table13[[#This Row],[Discount Amount]]</f>
        <v>42500</v>
      </c>
      <c r="N106" s="8">
        <v>7000</v>
      </c>
      <c r="O106" s="8">
        <f>Table13[[#This Row],[Unit Cost]]*Table13[[#This Row],[Quantity]]</f>
        <v>35000</v>
      </c>
      <c r="P106" s="8">
        <f>Table13[[#This Row],[Total Sales]]-Table13[[#This Row],[Total Cost]]</f>
        <v>7500</v>
      </c>
      <c r="Q106" s="12">
        <f>Table13[[#This Row],[Profit]]/Table13[[#This Row],[Total Sales]]</f>
        <v>0.17647058823529413</v>
      </c>
      <c r="R106" t="s">
        <v>344</v>
      </c>
      <c r="S106" t="s">
        <v>337</v>
      </c>
    </row>
    <row r="107" spans="1:19" x14ac:dyDescent="0.25">
      <c r="A107" t="s">
        <v>116</v>
      </c>
      <c r="B107" s="14">
        <v>45816</v>
      </c>
      <c r="C107" s="4" t="str">
        <f>TEXT(Table13[[#This Row],[Order Date]],"mmmm")</f>
        <v>June</v>
      </c>
      <c r="D107" s="4" t="str">
        <f>TEXT(Table13[[#This Row],[Order Date]],"dddd")</f>
        <v>Sunday</v>
      </c>
      <c r="E107" t="s">
        <v>266</v>
      </c>
      <c r="F107" t="s">
        <v>319</v>
      </c>
      <c r="G107" t="s">
        <v>324</v>
      </c>
      <c r="H107">
        <v>1</v>
      </c>
      <c r="I107" s="8">
        <v>9000</v>
      </c>
      <c r="J107" s="10">
        <f>Table13[[#This Row],[Unit Price]]*Table13[[#This Row],[Quantity]]</f>
        <v>9000</v>
      </c>
      <c r="K107" s="6">
        <v>0</v>
      </c>
      <c r="L107" s="10">
        <f>Table13[[#This Row],[Gross Sales]]*Table13[[#This Row],[Discount]]</f>
        <v>0</v>
      </c>
      <c r="M107" s="10">
        <f>Table13[[#This Row],[Gross Sales]]-Table13[[#This Row],[Discount Amount]]</f>
        <v>9000</v>
      </c>
      <c r="N107" s="8">
        <v>7600</v>
      </c>
      <c r="O107" s="8">
        <f>Table13[[#This Row],[Unit Cost]]*Table13[[#This Row],[Quantity]]</f>
        <v>7600</v>
      </c>
      <c r="P107" s="8">
        <f>Table13[[#This Row],[Total Sales]]-Table13[[#This Row],[Total Cost]]</f>
        <v>1400</v>
      </c>
      <c r="Q107" s="12">
        <f>Table13[[#This Row],[Profit]]/Table13[[#This Row],[Total Sales]]</f>
        <v>0.15555555555555556</v>
      </c>
      <c r="R107" t="s">
        <v>334</v>
      </c>
      <c r="S107" t="s">
        <v>339</v>
      </c>
    </row>
    <row r="108" spans="1:19" x14ac:dyDescent="0.25">
      <c r="A108" t="s">
        <v>117</v>
      </c>
      <c r="B108" s="14">
        <v>45818</v>
      </c>
      <c r="C108" s="4" t="str">
        <f>TEXT(Table13[[#This Row],[Order Date]],"mmmm")</f>
        <v>June</v>
      </c>
      <c r="D108" s="4" t="str">
        <f>TEXT(Table13[[#This Row],[Order Date]],"dddd")</f>
        <v>Tuesday</v>
      </c>
      <c r="E108" t="s">
        <v>265</v>
      </c>
      <c r="F108" t="s">
        <v>321</v>
      </c>
      <c r="G108" t="s">
        <v>324</v>
      </c>
      <c r="H108">
        <v>5</v>
      </c>
      <c r="I108" s="8">
        <v>9000</v>
      </c>
      <c r="J108" s="10">
        <f>Table13[[#This Row],[Unit Price]]*Table13[[#This Row],[Quantity]]</f>
        <v>45000</v>
      </c>
      <c r="K108" s="6">
        <v>0.1</v>
      </c>
      <c r="L108" s="10">
        <f>Table13[[#This Row],[Gross Sales]]*Table13[[#This Row],[Discount]]</f>
        <v>4500</v>
      </c>
      <c r="M108" s="10">
        <f>Table13[[#This Row],[Gross Sales]]-Table13[[#This Row],[Discount Amount]]</f>
        <v>40500</v>
      </c>
      <c r="N108" s="8">
        <v>7600</v>
      </c>
      <c r="O108" s="8">
        <f>Table13[[#This Row],[Unit Cost]]*Table13[[#This Row],[Quantity]]</f>
        <v>38000</v>
      </c>
      <c r="P108" s="8">
        <f>Table13[[#This Row],[Total Sales]]-Table13[[#This Row],[Total Cost]]</f>
        <v>2500</v>
      </c>
      <c r="Q108" s="12">
        <f>Table13[[#This Row],[Profit]]/Table13[[#This Row],[Total Sales]]</f>
        <v>6.1728395061728392E-2</v>
      </c>
      <c r="R108" t="s">
        <v>332</v>
      </c>
      <c r="S108" t="s">
        <v>337</v>
      </c>
    </row>
    <row r="109" spans="1:19" x14ac:dyDescent="0.25">
      <c r="A109" t="s">
        <v>118</v>
      </c>
      <c r="B109" s="14">
        <v>45819</v>
      </c>
      <c r="C109" s="4" t="str">
        <f>TEXT(Table13[[#This Row],[Order Date]],"mmmm")</f>
        <v>June</v>
      </c>
      <c r="D109" s="4" t="str">
        <f>TEXT(Table13[[#This Row],[Order Date]],"dddd")</f>
        <v>Wednesday</v>
      </c>
      <c r="E109" t="s">
        <v>292</v>
      </c>
      <c r="F109" t="s">
        <v>321</v>
      </c>
      <c r="G109" t="s">
        <v>326</v>
      </c>
      <c r="H109">
        <v>7</v>
      </c>
      <c r="I109" s="8">
        <v>1800</v>
      </c>
      <c r="J109" s="10">
        <f>Table13[[#This Row],[Unit Price]]*Table13[[#This Row],[Quantity]]</f>
        <v>12600</v>
      </c>
      <c r="K109" s="6">
        <v>0</v>
      </c>
      <c r="L109" s="10">
        <f>Table13[[#This Row],[Gross Sales]]*Table13[[#This Row],[Discount]]</f>
        <v>0</v>
      </c>
      <c r="M109" s="10">
        <f>Table13[[#This Row],[Gross Sales]]-Table13[[#This Row],[Discount Amount]]</f>
        <v>12600</v>
      </c>
      <c r="N109" s="8">
        <v>1400</v>
      </c>
      <c r="O109" s="8">
        <f>Table13[[#This Row],[Unit Cost]]*Table13[[#This Row],[Quantity]]</f>
        <v>9800</v>
      </c>
      <c r="P109" s="8">
        <f>Table13[[#This Row],[Total Sales]]-Table13[[#This Row],[Total Cost]]</f>
        <v>2800</v>
      </c>
      <c r="Q109" s="12">
        <f>Table13[[#This Row],[Profit]]/Table13[[#This Row],[Total Sales]]</f>
        <v>0.22222222222222221</v>
      </c>
      <c r="R109" t="s">
        <v>334</v>
      </c>
      <c r="S109" t="s">
        <v>339</v>
      </c>
    </row>
    <row r="110" spans="1:19" x14ac:dyDescent="0.25">
      <c r="A110" t="s">
        <v>119</v>
      </c>
      <c r="B110" s="14">
        <v>45821</v>
      </c>
      <c r="C110" s="4" t="str">
        <f>TEXT(Table13[[#This Row],[Order Date]],"mmmm")</f>
        <v>June</v>
      </c>
      <c r="D110" s="4" t="str">
        <f>TEXT(Table13[[#This Row],[Order Date]],"dddd")</f>
        <v>Friday</v>
      </c>
      <c r="E110" t="s">
        <v>311</v>
      </c>
      <c r="F110" t="s">
        <v>319</v>
      </c>
      <c r="G110" t="s">
        <v>324</v>
      </c>
      <c r="H110">
        <v>7</v>
      </c>
      <c r="I110" s="8">
        <v>9000</v>
      </c>
      <c r="J110" s="10">
        <f>Table13[[#This Row],[Unit Price]]*Table13[[#This Row],[Quantity]]</f>
        <v>63000</v>
      </c>
      <c r="K110" s="6">
        <v>0.1</v>
      </c>
      <c r="L110" s="10">
        <f>Table13[[#This Row],[Gross Sales]]*Table13[[#This Row],[Discount]]</f>
        <v>6300</v>
      </c>
      <c r="M110" s="10">
        <f>Table13[[#This Row],[Gross Sales]]-Table13[[#This Row],[Discount Amount]]</f>
        <v>56700</v>
      </c>
      <c r="N110" s="8">
        <v>7600</v>
      </c>
      <c r="O110" s="8">
        <f>Table13[[#This Row],[Unit Cost]]*Table13[[#This Row],[Quantity]]</f>
        <v>53200</v>
      </c>
      <c r="P110" s="8">
        <f>Table13[[#This Row],[Total Sales]]-Table13[[#This Row],[Total Cost]]</f>
        <v>3500</v>
      </c>
      <c r="Q110" s="12">
        <f>Table13[[#This Row],[Profit]]/Table13[[#This Row],[Total Sales]]</f>
        <v>6.1728395061728392E-2</v>
      </c>
      <c r="R110" t="s">
        <v>334</v>
      </c>
      <c r="S110" t="s">
        <v>339</v>
      </c>
    </row>
    <row r="111" spans="1:19" x14ac:dyDescent="0.25">
      <c r="A111" t="s">
        <v>120</v>
      </c>
      <c r="B111" s="14">
        <v>45822</v>
      </c>
      <c r="C111" s="4" t="str">
        <f>TEXT(Table13[[#This Row],[Order Date]],"mmmm")</f>
        <v>June</v>
      </c>
      <c r="D111" s="4" t="str">
        <f>TEXT(Table13[[#This Row],[Order Date]],"dddd")</f>
        <v>Saturday</v>
      </c>
      <c r="E111" t="s">
        <v>294</v>
      </c>
      <c r="F111" t="s">
        <v>315</v>
      </c>
      <c r="G111" t="s">
        <v>324</v>
      </c>
      <c r="H111">
        <v>1</v>
      </c>
      <c r="I111" s="8">
        <v>9000</v>
      </c>
      <c r="J111" s="10">
        <f>Table13[[#This Row],[Unit Price]]*Table13[[#This Row],[Quantity]]</f>
        <v>9000</v>
      </c>
      <c r="K111" s="6">
        <v>0</v>
      </c>
      <c r="L111" s="10">
        <f>Table13[[#This Row],[Gross Sales]]*Table13[[#This Row],[Discount]]</f>
        <v>0</v>
      </c>
      <c r="M111" s="10">
        <f>Table13[[#This Row],[Gross Sales]]-Table13[[#This Row],[Discount Amount]]</f>
        <v>9000</v>
      </c>
      <c r="N111" s="8">
        <v>7600</v>
      </c>
      <c r="O111" s="8">
        <f>Table13[[#This Row],[Unit Cost]]*Table13[[#This Row],[Quantity]]</f>
        <v>7600</v>
      </c>
      <c r="P111" s="8">
        <f>Table13[[#This Row],[Total Sales]]-Table13[[#This Row],[Total Cost]]</f>
        <v>1400</v>
      </c>
      <c r="Q111" s="12">
        <f>Table13[[#This Row],[Profit]]/Table13[[#This Row],[Total Sales]]</f>
        <v>0.15555555555555556</v>
      </c>
      <c r="R111" t="s">
        <v>334</v>
      </c>
      <c r="S111" t="s">
        <v>339</v>
      </c>
    </row>
    <row r="112" spans="1:19" x14ac:dyDescent="0.25">
      <c r="A112" t="s">
        <v>121</v>
      </c>
      <c r="B112" s="14">
        <v>45824</v>
      </c>
      <c r="C112" s="4" t="str">
        <f>TEXT(Table13[[#This Row],[Order Date]],"mmmm")</f>
        <v>June</v>
      </c>
      <c r="D112" s="4" t="str">
        <f>TEXT(Table13[[#This Row],[Order Date]],"dddd")</f>
        <v>Monday</v>
      </c>
      <c r="E112" t="s">
        <v>312</v>
      </c>
      <c r="F112" t="s">
        <v>315</v>
      </c>
      <c r="G112" t="s">
        <v>329</v>
      </c>
      <c r="H112">
        <v>2</v>
      </c>
      <c r="I112" s="8">
        <v>1200</v>
      </c>
      <c r="J112" s="10">
        <f>Table13[[#This Row],[Unit Price]]*Table13[[#This Row],[Quantity]]</f>
        <v>2400</v>
      </c>
      <c r="K112" s="6">
        <v>0</v>
      </c>
      <c r="L112" s="10">
        <f>Table13[[#This Row],[Gross Sales]]*Table13[[#This Row],[Discount]]</f>
        <v>0</v>
      </c>
      <c r="M112" s="10">
        <f>Table13[[#This Row],[Gross Sales]]-Table13[[#This Row],[Discount Amount]]</f>
        <v>2400</v>
      </c>
      <c r="N112" s="8">
        <v>900</v>
      </c>
      <c r="O112" s="8">
        <f>Table13[[#This Row],[Unit Cost]]*Table13[[#This Row],[Quantity]]</f>
        <v>1800</v>
      </c>
      <c r="P112" s="8">
        <f>Table13[[#This Row],[Total Sales]]-Table13[[#This Row],[Total Cost]]</f>
        <v>600</v>
      </c>
      <c r="Q112" s="12">
        <f>Table13[[#This Row],[Profit]]/Table13[[#This Row],[Total Sales]]</f>
        <v>0.25</v>
      </c>
      <c r="R112" t="s">
        <v>334</v>
      </c>
      <c r="S112" t="s">
        <v>336</v>
      </c>
    </row>
    <row r="113" spans="1:19" x14ac:dyDescent="0.25">
      <c r="A113" t="s">
        <v>122</v>
      </c>
      <c r="B113" s="14">
        <v>45825</v>
      </c>
      <c r="C113" s="4" t="str">
        <f>TEXT(Table13[[#This Row],[Order Date]],"mmmm")</f>
        <v>June</v>
      </c>
      <c r="D113" s="4" t="str">
        <f>TEXT(Table13[[#This Row],[Order Date]],"dddd")</f>
        <v>Tuesday</v>
      </c>
      <c r="E113" t="s">
        <v>265</v>
      </c>
      <c r="F113" t="s">
        <v>315</v>
      </c>
      <c r="G113" t="s">
        <v>325</v>
      </c>
      <c r="H113">
        <v>2</v>
      </c>
      <c r="I113" s="8">
        <v>8500</v>
      </c>
      <c r="J113" s="10">
        <f>Table13[[#This Row],[Unit Price]]*Table13[[#This Row],[Quantity]]</f>
        <v>17000</v>
      </c>
      <c r="K113" s="6">
        <v>0</v>
      </c>
      <c r="L113" s="10">
        <f>Table13[[#This Row],[Gross Sales]]*Table13[[#This Row],[Discount]]</f>
        <v>0</v>
      </c>
      <c r="M113" s="10">
        <f>Table13[[#This Row],[Gross Sales]]-Table13[[#This Row],[Discount Amount]]</f>
        <v>17000</v>
      </c>
      <c r="N113" s="8">
        <v>7000</v>
      </c>
      <c r="O113" s="8">
        <f>Table13[[#This Row],[Unit Cost]]*Table13[[#This Row],[Quantity]]</f>
        <v>14000</v>
      </c>
      <c r="P113" s="8">
        <f>Table13[[#This Row],[Total Sales]]-Table13[[#This Row],[Total Cost]]</f>
        <v>3000</v>
      </c>
      <c r="Q113" s="12">
        <f>Table13[[#This Row],[Profit]]/Table13[[#This Row],[Total Sales]]</f>
        <v>0.17647058823529413</v>
      </c>
      <c r="R113" t="s">
        <v>334</v>
      </c>
      <c r="S113" t="s">
        <v>339</v>
      </c>
    </row>
    <row r="114" spans="1:19" x14ac:dyDescent="0.25">
      <c r="A114" t="s">
        <v>123</v>
      </c>
      <c r="B114" s="14">
        <v>45827</v>
      </c>
      <c r="C114" s="4" t="str">
        <f>TEXT(Table13[[#This Row],[Order Date]],"mmmm")</f>
        <v>June</v>
      </c>
      <c r="D114" s="4" t="str">
        <f>TEXT(Table13[[#This Row],[Order Date]],"dddd")</f>
        <v>Thursday</v>
      </c>
      <c r="E114" t="s">
        <v>313</v>
      </c>
      <c r="F114" t="s">
        <v>319</v>
      </c>
      <c r="G114" t="s">
        <v>327</v>
      </c>
      <c r="H114">
        <v>4</v>
      </c>
      <c r="I114" s="8">
        <v>7500</v>
      </c>
      <c r="J114" s="10">
        <f>Table13[[#This Row],[Unit Price]]*Table13[[#This Row],[Quantity]]</f>
        <v>30000</v>
      </c>
      <c r="K114" s="6">
        <v>0.05</v>
      </c>
      <c r="L114" s="10">
        <f>Table13[[#This Row],[Gross Sales]]*Table13[[#This Row],[Discount]]</f>
        <v>1500</v>
      </c>
      <c r="M114" s="10">
        <f>Table13[[#This Row],[Gross Sales]]-Table13[[#This Row],[Discount Amount]]</f>
        <v>28500</v>
      </c>
      <c r="N114" s="8">
        <v>6300</v>
      </c>
      <c r="O114" s="8">
        <f>Table13[[#This Row],[Unit Cost]]*Table13[[#This Row],[Quantity]]</f>
        <v>25200</v>
      </c>
      <c r="P114" s="8">
        <f>Table13[[#This Row],[Total Sales]]-Table13[[#This Row],[Total Cost]]</f>
        <v>3300</v>
      </c>
      <c r="Q114" s="12">
        <f>Table13[[#This Row],[Profit]]/Table13[[#This Row],[Total Sales]]</f>
        <v>0.11578947368421053</v>
      </c>
      <c r="R114" t="s">
        <v>330</v>
      </c>
      <c r="S114" t="s">
        <v>336</v>
      </c>
    </row>
    <row r="115" spans="1:19" x14ac:dyDescent="0.25">
      <c r="A115" t="s">
        <v>124</v>
      </c>
      <c r="B115" s="14">
        <v>45828</v>
      </c>
      <c r="C115" s="4" t="str">
        <f>TEXT(Table13[[#This Row],[Order Date]],"mmmm")</f>
        <v>June</v>
      </c>
      <c r="D115" s="4" t="str">
        <f>TEXT(Table13[[#This Row],[Order Date]],"dddd")</f>
        <v>Friday</v>
      </c>
      <c r="E115" t="s">
        <v>255</v>
      </c>
      <c r="F115" t="s">
        <v>318</v>
      </c>
      <c r="G115" t="s">
        <v>327</v>
      </c>
      <c r="H115">
        <v>2</v>
      </c>
      <c r="I115" s="8">
        <v>7500</v>
      </c>
      <c r="J115" s="10">
        <f>Table13[[#This Row],[Unit Price]]*Table13[[#This Row],[Quantity]]</f>
        <v>15000</v>
      </c>
      <c r="K115" s="6">
        <v>0</v>
      </c>
      <c r="L115" s="10">
        <f>Table13[[#This Row],[Gross Sales]]*Table13[[#This Row],[Discount]]</f>
        <v>0</v>
      </c>
      <c r="M115" s="10">
        <f>Table13[[#This Row],[Gross Sales]]-Table13[[#This Row],[Discount Amount]]</f>
        <v>15000</v>
      </c>
      <c r="N115" s="8">
        <v>6300</v>
      </c>
      <c r="O115" s="8">
        <f>Table13[[#This Row],[Unit Cost]]*Table13[[#This Row],[Quantity]]</f>
        <v>12600</v>
      </c>
      <c r="P115" s="8">
        <f>Table13[[#This Row],[Total Sales]]-Table13[[#This Row],[Total Cost]]</f>
        <v>2400</v>
      </c>
      <c r="Q115" s="12">
        <f>Table13[[#This Row],[Profit]]/Table13[[#This Row],[Total Sales]]</f>
        <v>0.16</v>
      </c>
      <c r="R115" t="s">
        <v>334</v>
      </c>
      <c r="S115" t="s">
        <v>336</v>
      </c>
    </row>
    <row r="116" spans="1:19" x14ac:dyDescent="0.25">
      <c r="A116" t="s">
        <v>125</v>
      </c>
      <c r="B116" s="14">
        <v>45830</v>
      </c>
      <c r="C116" s="4" t="str">
        <f>TEXT(Table13[[#This Row],[Order Date]],"mmmm")</f>
        <v>June</v>
      </c>
      <c r="D116" s="4" t="str">
        <f>TEXT(Table13[[#This Row],[Order Date]],"dddd")</f>
        <v>Sunday</v>
      </c>
      <c r="E116" t="s">
        <v>314</v>
      </c>
      <c r="F116" t="s">
        <v>321</v>
      </c>
      <c r="G116" t="s">
        <v>329</v>
      </c>
      <c r="H116">
        <v>6</v>
      </c>
      <c r="I116" s="8">
        <v>1200</v>
      </c>
      <c r="J116" s="10">
        <f>Table13[[#This Row],[Unit Price]]*Table13[[#This Row],[Quantity]]</f>
        <v>7200</v>
      </c>
      <c r="K116" s="6">
        <v>0.05</v>
      </c>
      <c r="L116" s="10">
        <f>Table13[[#This Row],[Gross Sales]]*Table13[[#This Row],[Discount]]</f>
        <v>360</v>
      </c>
      <c r="M116" s="10">
        <f>Table13[[#This Row],[Gross Sales]]-Table13[[#This Row],[Discount Amount]]</f>
        <v>6840</v>
      </c>
      <c r="N116" s="8">
        <v>900</v>
      </c>
      <c r="O116" s="8">
        <f>Table13[[#This Row],[Unit Cost]]*Table13[[#This Row],[Quantity]]</f>
        <v>5400</v>
      </c>
      <c r="P116" s="8">
        <f>Table13[[#This Row],[Total Sales]]-Table13[[#This Row],[Total Cost]]</f>
        <v>1440</v>
      </c>
      <c r="Q116" s="12">
        <f>Table13[[#This Row],[Profit]]/Table13[[#This Row],[Total Sales]]</f>
        <v>0.21052631578947367</v>
      </c>
      <c r="R116" t="s">
        <v>330</v>
      </c>
      <c r="S116" t="s">
        <v>336</v>
      </c>
    </row>
    <row r="117" spans="1:19" x14ac:dyDescent="0.25">
      <c r="A117" t="s">
        <v>126</v>
      </c>
      <c r="B117" s="14">
        <v>45831</v>
      </c>
      <c r="C117" s="4" t="str">
        <f>TEXT(Table13[[#This Row],[Order Date]],"mmmm")</f>
        <v>June</v>
      </c>
      <c r="D117" s="4" t="str">
        <f>TEXT(Table13[[#This Row],[Order Date]],"dddd")</f>
        <v>Monday</v>
      </c>
      <c r="E117" t="s">
        <v>290</v>
      </c>
      <c r="F117" t="s">
        <v>321</v>
      </c>
      <c r="G117" t="s">
        <v>325</v>
      </c>
      <c r="H117">
        <v>6</v>
      </c>
      <c r="I117" s="8">
        <v>8500</v>
      </c>
      <c r="J117" s="10">
        <f>Table13[[#This Row],[Unit Price]]*Table13[[#This Row],[Quantity]]</f>
        <v>51000</v>
      </c>
      <c r="K117" s="6">
        <v>0.05</v>
      </c>
      <c r="L117" s="10">
        <f>Table13[[#This Row],[Gross Sales]]*Table13[[#This Row],[Discount]]</f>
        <v>2550</v>
      </c>
      <c r="M117" s="10">
        <f>Table13[[#This Row],[Gross Sales]]-Table13[[#This Row],[Discount Amount]]</f>
        <v>48450</v>
      </c>
      <c r="N117" s="8">
        <v>7000</v>
      </c>
      <c r="O117" s="8">
        <f>Table13[[#This Row],[Unit Cost]]*Table13[[#This Row],[Quantity]]</f>
        <v>42000</v>
      </c>
      <c r="P117" s="8">
        <f>Table13[[#This Row],[Total Sales]]-Table13[[#This Row],[Total Cost]]</f>
        <v>6450</v>
      </c>
      <c r="Q117" s="12">
        <f>Table13[[#This Row],[Profit]]/Table13[[#This Row],[Total Sales]]</f>
        <v>0.13312693498452013</v>
      </c>
      <c r="R117" t="s">
        <v>334</v>
      </c>
      <c r="S117" t="s">
        <v>336</v>
      </c>
    </row>
    <row r="118" spans="1:19" x14ac:dyDescent="0.25">
      <c r="A118" t="s">
        <v>127</v>
      </c>
      <c r="B118" s="14">
        <v>45833</v>
      </c>
      <c r="C118" s="4" t="str">
        <f>TEXT(Table13[[#This Row],[Order Date]],"mmmm")</f>
        <v>June</v>
      </c>
      <c r="D118" s="4" t="str">
        <f>TEXT(Table13[[#This Row],[Order Date]],"dddd")</f>
        <v>Wednesday</v>
      </c>
      <c r="E118" t="s">
        <v>260</v>
      </c>
      <c r="F118" t="s">
        <v>315</v>
      </c>
      <c r="G118" t="s">
        <v>325</v>
      </c>
      <c r="H118">
        <v>6</v>
      </c>
      <c r="I118" s="8">
        <v>8500</v>
      </c>
      <c r="J118" s="10">
        <f>Table13[[#This Row],[Unit Price]]*Table13[[#This Row],[Quantity]]</f>
        <v>51000</v>
      </c>
      <c r="K118" s="6">
        <v>0</v>
      </c>
      <c r="L118" s="10">
        <f>Table13[[#This Row],[Gross Sales]]*Table13[[#This Row],[Discount]]</f>
        <v>0</v>
      </c>
      <c r="M118" s="10">
        <f>Table13[[#This Row],[Gross Sales]]-Table13[[#This Row],[Discount Amount]]</f>
        <v>51000</v>
      </c>
      <c r="N118" s="8">
        <v>7000</v>
      </c>
      <c r="O118" s="8">
        <f>Table13[[#This Row],[Unit Cost]]*Table13[[#This Row],[Quantity]]</f>
        <v>42000</v>
      </c>
      <c r="P118" s="8">
        <f>Table13[[#This Row],[Total Sales]]-Table13[[#This Row],[Total Cost]]</f>
        <v>9000</v>
      </c>
      <c r="Q118" s="12">
        <f>Table13[[#This Row],[Profit]]/Table13[[#This Row],[Total Sales]]</f>
        <v>0.17647058823529413</v>
      </c>
      <c r="R118" t="s">
        <v>344</v>
      </c>
      <c r="S118" t="s">
        <v>339</v>
      </c>
    </row>
    <row r="119" spans="1:19" x14ac:dyDescent="0.25">
      <c r="A119" t="s">
        <v>128</v>
      </c>
      <c r="B119" s="14">
        <v>45834</v>
      </c>
      <c r="C119" s="4" t="str">
        <f>TEXT(Table13[[#This Row],[Order Date]],"mmmm")</f>
        <v>June</v>
      </c>
      <c r="D119" s="4" t="str">
        <f>TEXT(Table13[[#This Row],[Order Date]],"dddd")</f>
        <v>Thursday</v>
      </c>
      <c r="E119" t="s">
        <v>304</v>
      </c>
      <c r="F119" t="s">
        <v>321</v>
      </c>
      <c r="G119" t="s">
        <v>325</v>
      </c>
      <c r="H119">
        <v>2</v>
      </c>
      <c r="I119" s="8">
        <v>8500</v>
      </c>
      <c r="J119" s="10">
        <f>Table13[[#This Row],[Unit Price]]*Table13[[#This Row],[Quantity]]</f>
        <v>17000</v>
      </c>
      <c r="K119" s="6">
        <v>0.05</v>
      </c>
      <c r="L119" s="10">
        <f>Table13[[#This Row],[Gross Sales]]*Table13[[#This Row],[Discount]]</f>
        <v>850</v>
      </c>
      <c r="M119" s="10">
        <f>Table13[[#This Row],[Gross Sales]]-Table13[[#This Row],[Discount Amount]]</f>
        <v>16150</v>
      </c>
      <c r="N119" s="8">
        <v>7000</v>
      </c>
      <c r="O119" s="8">
        <f>Table13[[#This Row],[Unit Cost]]*Table13[[#This Row],[Quantity]]</f>
        <v>14000</v>
      </c>
      <c r="P119" s="8">
        <f>Table13[[#This Row],[Total Sales]]-Table13[[#This Row],[Total Cost]]</f>
        <v>2150</v>
      </c>
      <c r="Q119" s="12">
        <f>Table13[[#This Row],[Profit]]/Table13[[#This Row],[Total Sales]]</f>
        <v>0.13312693498452013</v>
      </c>
      <c r="R119" t="s">
        <v>332</v>
      </c>
      <c r="S119" t="s">
        <v>339</v>
      </c>
    </row>
    <row r="120" spans="1:19" x14ac:dyDescent="0.25">
      <c r="A120" t="s">
        <v>129</v>
      </c>
      <c r="B120" s="14">
        <v>45836</v>
      </c>
      <c r="C120" s="4" t="str">
        <f>TEXT(Table13[[#This Row],[Order Date]],"mmmm")</f>
        <v>June</v>
      </c>
      <c r="D120" s="4" t="str">
        <f>TEXT(Table13[[#This Row],[Order Date]],"dddd")</f>
        <v>Saturday</v>
      </c>
      <c r="E120" t="s">
        <v>278</v>
      </c>
      <c r="F120" t="s">
        <v>315</v>
      </c>
      <c r="G120" t="s">
        <v>329</v>
      </c>
      <c r="H120">
        <v>1</v>
      </c>
      <c r="I120" s="8">
        <v>1200</v>
      </c>
      <c r="J120" s="10">
        <f>Table13[[#This Row],[Unit Price]]*Table13[[#This Row],[Quantity]]</f>
        <v>1200</v>
      </c>
      <c r="K120" s="6">
        <v>0.1</v>
      </c>
      <c r="L120" s="10">
        <f>Table13[[#This Row],[Gross Sales]]*Table13[[#This Row],[Discount]]</f>
        <v>120</v>
      </c>
      <c r="M120" s="10">
        <f>Table13[[#This Row],[Gross Sales]]-Table13[[#This Row],[Discount Amount]]</f>
        <v>1080</v>
      </c>
      <c r="N120" s="8">
        <v>900</v>
      </c>
      <c r="O120" s="8">
        <f>Table13[[#This Row],[Unit Cost]]*Table13[[#This Row],[Quantity]]</f>
        <v>900</v>
      </c>
      <c r="P120" s="8">
        <f>Table13[[#This Row],[Total Sales]]-Table13[[#This Row],[Total Cost]]</f>
        <v>180</v>
      </c>
      <c r="Q120" s="12">
        <f>Table13[[#This Row],[Profit]]/Table13[[#This Row],[Total Sales]]</f>
        <v>0.16666666666666666</v>
      </c>
      <c r="R120" t="s">
        <v>332</v>
      </c>
      <c r="S120" t="s">
        <v>336</v>
      </c>
    </row>
    <row r="121" spans="1:19" x14ac:dyDescent="0.25">
      <c r="A121" t="s">
        <v>130</v>
      </c>
      <c r="B121" s="14">
        <v>45838</v>
      </c>
      <c r="C121" s="4" t="str">
        <f>TEXT(Table13[[#This Row],[Order Date]],"mmmm")</f>
        <v>June</v>
      </c>
      <c r="D121" s="4" t="str">
        <f>TEXT(Table13[[#This Row],[Order Date]],"dddd")</f>
        <v>Monday</v>
      </c>
      <c r="E121" t="s">
        <v>298</v>
      </c>
      <c r="F121" t="s">
        <v>315</v>
      </c>
      <c r="G121" t="s">
        <v>325</v>
      </c>
      <c r="H121">
        <v>7</v>
      </c>
      <c r="I121" s="8">
        <v>8500</v>
      </c>
      <c r="J121" s="10">
        <f>Table13[[#This Row],[Unit Price]]*Table13[[#This Row],[Quantity]]</f>
        <v>59500</v>
      </c>
      <c r="K121" s="6">
        <v>0</v>
      </c>
      <c r="L121" s="10">
        <f>Table13[[#This Row],[Gross Sales]]*Table13[[#This Row],[Discount]]</f>
        <v>0</v>
      </c>
      <c r="M121" s="10">
        <f>Table13[[#This Row],[Gross Sales]]-Table13[[#This Row],[Discount Amount]]</f>
        <v>59500</v>
      </c>
      <c r="N121" s="8">
        <v>7000</v>
      </c>
      <c r="O121" s="8">
        <f>Table13[[#This Row],[Unit Cost]]*Table13[[#This Row],[Quantity]]</f>
        <v>49000</v>
      </c>
      <c r="P121" s="8">
        <f>Table13[[#This Row],[Total Sales]]-Table13[[#This Row],[Total Cost]]</f>
        <v>10500</v>
      </c>
      <c r="Q121" s="12">
        <f>Table13[[#This Row],[Profit]]/Table13[[#This Row],[Total Sales]]</f>
        <v>0.17647058823529413</v>
      </c>
      <c r="R121" t="s">
        <v>332</v>
      </c>
      <c r="S121" t="s">
        <v>339</v>
      </c>
    </row>
  </sheetData>
  <phoneticPr fontId="3" type="noConversion"/>
  <conditionalFormatting sqref="A1:A121 A123:A1048576">
    <cfRule type="duplicateValues" dxfId="1"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5F548-46D0-49E3-A6EE-49A16685710C}">
  <dimension ref="A1:K121"/>
  <sheetViews>
    <sheetView workbookViewId="0">
      <selection activeCell="A2" sqref="A2"/>
    </sheetView>
  </sheetViews>
  <sheetFormatPr defaultRowHeight="15" x14ac:dyDescent="0.25"/>
  <cols>
    <col min="1" max="1" width="10.5703125" customWidth="1"/>
    <col min="2" max="2" width="12.85546875" customWidth="1"/>
    <col min="3" max="3" width="17.42578125" customWidth="1"/>
    <col min="5" max="5" width="13.5703125" bestFit="1" customWidth="1"/>
    <col min="6" max="6" width="10.85546875" customWidth="1"/>
    <col min="7" max="7" width="11.85546875" customWidth="1"/>
    <col min="8" max="8" width="11.28515625" customWidth="1"/>
    <col min="9" max="9" width="10.85546875" customWidth="1"/>
    <col min="10" max="10" width="15.42578125" customWidth="1"/>
    <col min="11" max="11" width="18.5703125" customWidth="1"/>
  </cols>
  <sheetData>
    <row r="1" spans="1:11" x14ac:dyDescent="0.25">
      <c r="A1" s="2" t="s">
        <v>0</v>
      </c>
      <c r="B1" s="2" t="s">
        <v>1</v>
      </c>
      <c r="C1" s="2" t="s">
        <v>342</v>
      </c>
      <c r="D1" s="2" t="s">
        <v>343</v>
      </c>
      <c r="E1" s="2" t="s">
        <v>4</v>
      </c>
      <c r="F1" s="2" t="s">
        <v>5</v>
      </c>
      <c r="G1" s="2" t="s">
        <v>6</v>
      </c>
      <c r="H1" s="2" t="s">
        <v>7</v>
      </c>
      <c r="I1" s="2" t="s">
        <v>8</v>
      </c>
      <c r="J1" s="2" t="s">
        <v>9</v>
      </c>
      <c r="K1" s="2" t="s">
        <v>10</v>
      </c>
    </row>
    <row r="2" spans="1:11" x14ac:dyDescent="0.25">
      <c r="A2" t="s">
        <v>11</v>
      </c>
      <c r="B2" t="s">
        <v>131</v>
      </c>
      <c r="C2" t="s">
        <v>251</v>
      </c>
      <c r="D2" t="s">
        <v>315</v>
      </c>
      <c r="E2" t="s">
        <v>322</v>
      </c>
      <c r="F2">
        <v>1</v>
      </c>
      <c r="G2">
        <v>8500</v>
      </c>
      <c r="H2">
        <v>7000</v>
      </c>
      <c r="I2">
        <v>0</v>
      </c>
      <c r="J2" t="s">
        <v>330</v>
      </c>
      <c r="K2" t="s">
        <v>336</v>
      </c>
    </row>
    <row r="3" spans="1:11" x14ac:dyDescent="0.25">
      <c r="A3" t="s">
        <v>12</v>
      </c>
      <c r="B3" t="s">
        <v>132</v>
      </c>
      <c r="C3" t="s">
        <v>252</v>
      </c>
      <c r="D3" t="s">
        <v>315</v>
      </c>
      <c r="E3" t="s">
        <v>324</v>
      </c>
      <c r="F3">
        <v>7</v>
      </c>
      <c r="G3">
        <v>9000</v>
      </c>
      <c r="H3">
        <v>7600</v>
      </c>
      <c r="I3">
        <v>0.05</v>
      </c>
      <c r="J3" t="s">
        <v>334</v>
      </c>
      <c r="K3" t="s">
        <v>336</v>
      </c>
    </row>
    <row r="4" spans="1:11" x14ac:dyDescent="0.25">
      <c r="A4" t="s">
        <v>13</v>
      </c>
      <c r="B4" t="s">
        <v>133</v>
      </c>
      <c r="C4" t="s">
        <v>253</v>
      </c>
      <c r="D4" t="s">
        <v>315</v>
      </c>
      <c r="E4" t="s">
        <v>324</v>
      </c>
      <c r="F4">
        <v>6</v>
      </c>
      <c r="G4">
        <v>9000</v>
      </c>
      <c r="H4">
        <v>7600</v>
      </c>
      <c r="I4">
        <v>0.1</v>
      </c>
      <c r="J4" t="s">
        <v>330</v>
      </c>
      <c r="K4" t="s">
        <v>336</v>
      </c>
    </row>
    <row r="5" spans="1:11" x14ac:dyDescent="0.25">
      <c r="A5" t="s">
        <v>14</v>
      </c>
      <c r="B5" t="s">
        <v>134</v>
      </c>
      <c r="C5" t="s">
        <v>254</v>
      </c>
      <c r="D5" t="s">
        <v>315</v>
      </c>
      <c r="E5" t="s">
        <v>324</v>
      </c>
      <c r="F5">
        <v>1</v>
      </c>
      <c r="G5">
        <v>9000</v>
      </c>
      <c r="H5">
        <v>7600</v>
      </c>
      <c r="I5">
        <v>0</v>
      </c>
      <c r="J5" t="s">
        <v>332</v>
      </c>
      <c r="K5" t="s">
        <v>337</v>
      </c>
    </row>
    <row r="6" spans="1:11" x14ac:dyDescent="0.25">
      <c r="A6" t="s">
        <v>15</v>
      </c>
      <c r="B6" t="s">
        <v>135</v>
      </c>
      <c r="C6" t="s">
        <v>255</v>
      </c>
      <c r="D6" t="s">
        <v>315</v>
      </c>
      <c r="E6" t="s">
        <v>325</v>
      </c>
      <c r="F6">
        <v>6</v>
      </c>
      <c r="G6">
        <v>8500</v>
      </c>
      <c r="H6">
        <v>7000</v>
      </c>
      <c r="I6">
        <v>0</v>
      </c>
      <c r="J6" t="s">
        <v>344</v>
      </c>
      <c r="K6" t="s">
        <v>336</v>
      </c>
    </row>
    <row r="7" spans="1:11" x14ac:dyDescent="0.25">
      <c r="A7" t="s">
        <v>16</v>
      </c>
      <c r="B7" t="s">
        <v>136</v>
      </c>
      <c r="C7" t="s">
        <v>256</v>
      </c>
      <c r="D7" t="s">
        <v>315</v>
      </c>
      <c r="E7" t="s">
        <v>326</v>
      </c>
      <c r="F7">
        <v>1</v>
      </c>
      <c r="G7">
        <v>1800</v>
      </c>
      <c r="H7">
        <v>1400</v>
      </c>
      <c r="I7">
        <v>0</v>
      </c>
      <c r="J7" t="s">
        <v>330</v>
      </c>
      <c r="K7" t="s">
        <v>339</v>
      </c>
    </row>
    <row r="8" spans="1:11" x14ac:dyDescent="0.25">
      <c r="A8" t="s">
        <v>17</v>
      </c>
      <c r="B8" t="s">
        <v>137</v>
      </c>
      <c r="C8" t="s">
        <v>257</v>
      </c>
      <c r="D8" t="s">
        <v>315</v>
      </c>
      <c r="E8" t="s">
        <v>327</v>
      </c>
      <c r="F8">
        <v>6</v>
      </c>
      <c r="G8">
        <v>7500</v>
      </c>
      <c r="H8">
        <v>6300</v>
      </c>
      <c r="I8">
        <v>0</v>
      </c>
      <c r="J8" t="s">
        <v>330</v>
      </c>
      <c r="K8" t="s">
        <v>336</v>
      </c>
    </row>
    <row r="9" spans="1:11" x14ac:dyDescent="0.25">
      <c r="A9" t="s">
        <v>18</v>
      </c>
      <c r="B9" t="s">
        <v>138</v>
      </c>
      <c r="C9" t="s">
        <v>257</v>
      </c>
      <c r="D9" t="s">
        <v>318</v>
      </c>
      <c r="E9" t="s">
        <v>328</v>
      </c>
      <c r="F9">
        <v>1</v>
      </c>
      <c r="G9">
        <v>5000</v>
      </c>
      <c r="H9">
        <v>4000</v>
      </c>
      <c r="I9">
        <v>0</v>
      </c>
      <c r="J9" t="s">
        <v>344</v>
      </c>
      <c r="K9" t="s">
        <v>339</v>
      </c>
    </row>
    <row r="10" spans="1:11" x14ac:dyDescent="0.25">
      <c r="A10" t="s">
        <v>19</v>
      </c>
      <c r="B10" t="s">
        <v>139</v>
      </c>
      <c r="C10" t="s">
        <v>259</v>
      </c>
      <c r="D10" t="s">
        <v>315</v>
      </c>
      <c r="E10" t="s">
        <v>325</v>
      </c>
      <c r="F10">
        <v>4</v>
      </c>
      <c r="G10">
        <v>8500</v>
      </c>
      <c r="H10">
        <v>7000</v>
      </c>
      <c r="I10">
        <v>0.1</v>
      </c>
      <c r="J10" t="s">
        <v>332</v>
      </c>
      <c r="K10" t="s">
        <v>336</v>
      </c>
    </row>
    <row r="11" spans="1:11" x14ac:dyDescent="0.25">
      <c r="A11" t="s">
        <v>20</v>
      </c>
      <c r="B11" t="s">
        <v>140</v>
      </c>
      <c r="C11" t="s">
        <v>260</v>
      </c>
      <c r="D11" t="s">
        <v>315</v>
      </c>
      <c r="E11" t="s">
        <v>322</v>
      </c>
      <c r="F11">
        <v>5</v>
      </c>
      <c r="G11">
        <v>8500</v>
      </c>
      <c r="H11">
        <v>7000</v>
      </c>
      <c r="I11">
        <v>0.05</v>
      </c>
      <c r="J11" t="s">
        <v>332</v>
      </c>
      <c r="K11" t="s">
        <v>336</v>
      </c>
    </row>
    <row r="12" spans="1:11" x14ac:dyDescent="0.25">
      <c r="A12" t="s">
        <v>21</v>
      </c>
      <c r="B12" t="s">
        <v>141</v>
      </c>
      <c r="C12" t="s">
        <v>261</v>
      </c>
      <c r="D12" t="s">
        <v>319</v>
      </c>
      <c r="E12" t="s">
        <v>328</v>
      </c>
      <c r="F12">
        <v>6</v>
      </c>
      <c r="G12">
        <v>5000</v>
      </c>
      <c r="H12">
        <v>4000</v>
      </c>
      <c r="I12">
        <v>0.1</v>
      </c>
      <c r="J12" t="s">
        <v>334</v>
      </c>
      <c r="K12" t="s">
        <v>336</v>
      </c>
    </row>
    <row r="13" spans="1:11" x14ac:dyDescent="0.25">
      <c r="A13" t="s">
        <v>22</v>
      </c>
      <c r="B13" t="s">
        <v>142</v>
      </c>
      <c r="C13" t="s">
        <v>262</v>
      </c>
      <c r="D13" t="s">
        <v>318</v>
      </c>
      <c r="E13" t="s">
        <v>329</v>
      </c>
      <c r="F13">
        <v>3</v>
      </c>
      <c r="G13">
        <v>1200</v>
      </c>
      <c r="H13">
        <v>900</v>
      </c>
      <c r="I13">
        <v>0.1</v>
      </c>
      <c r="J13" t="s">
        <v>334</v>
      </c>
      <c r="K13" t="s">
        <v>339</v>
      </c>
    </row>
    <row r="14" spans="1:11" x14ac:dyDescent="0.25">
      <c r="A14" t="s">
        <v>23</v>
      </c>
      <c r="B14" t="s">
        <v>143</v>
      </c>
      <c r="C14" t="s">
        <v>263</v>
      </c>
      <c r="D14" t="s">
        <v>319</v>
      </c>
      <c r="E14" t="s">
        <v>327</v>
      </c>
      <c r="F14">
        <v>7</v>
      </c>
      <c r="G14">
        <v>7500</v>
      </c>
      <c r="H14">
        <v>6300</v>
      </c>
      <c r="I14">
        <v>0.1</v>
      </c>
      <c r="J14" t="s">
        <v>332</v>
      </c>
      <c r="K14" t="s">
        <v>336</v>
      </c>
    </row>
    <row r="15" spans="1:11" x14ac:dyDescent="0.25">
      <c r="A15" t="s">
        <v>24</v>
      </c>
      <c r="B15" t="s">
        <v>144</v>
      </c>
      <c r="C15" t="s">
        <v>264</v>
      </c>
      <c r="D15" t="s">
        <v>319</v>
      </c>
      <c r="E15" t="s">
        <v>328</v>
      </c>
      <c r="F15">
        <v>6</v>
      </c>
      <c r="G15">
        <v>5000</v>
      </c>
      <c r="H15">
        <v>4000</v>
      </c>
      <c r="I15">
        <v>0</v>
      </c>
      <c r="J15" t="s">
        <v>332</v>
      </c>
      <c r="K15" t="s">
        <v>336</v>
      </c>
    </row>
    <row r="16" spans="1:11" x14ac:dyDescent="0.25">
      <c r="A16" t="s">
        <v>25</v>
      </c>
      <c r="B16" t="s">
        <v>145</v>
      </c>
      <c r="C16" t="s">
        <v>265</v>
      </c>
      <c r="D16" t="s">
        <v>315</v>
      </c>
      <c r="E16" t="s">
        <v>324</v>
      </c>
      <c r="F16">
        <v>2</v>
      </c>
      <c r="G16">
        <v>9000</v>
      </c>
      <c r="H16">
        <v>7600</v>
      </c>
      <c r="I16">
        <v>0</v>
      </c>
      <c r="J16" t="s">
        <v>330</v>
      </c>
      <c r="K16" t="s">
        <v>336</v>
      </c>
    </row>
    <row r="17" spans="1:11" x14ac:dyDescent="0.25">
      <c r="A17" t="s">
        <v>26</v>
      </c>
      <c r="B17" t="s">
        <v>146</v>
      </c>
      <c r="C17" t="s">
        <v>266</v>
      </c>
      <c r="D17" t="s">
        <v>315</v>
      </c>
      <c r="E17" t="s">
        <v>325</v>
      </c>
      <c r="F17">
        <v>5</v>
      </c>
      <c r="G17">
        <v>8500</v>
      </c>
      <c r="H17">
        <v>7000</v>
      </c>
      <c r="I17">
        <v>0.1</v>
      </c>
      <c r="J17" t="s">
        <v>344</v>
      </c>
      <c r="K17" t="s">
        <v>336</v>
      </c>
    </row>
    <row r="18" spans="1:11" x14ac:dyDescent="0.25">
      <c r="A18" t="s">
        <v>27</v>
      </c>
      <c r="B18" t="s">
        <v>147</v>
      </c>
      <c r="C18" t="s">
        <v>261</v>
      </c>
      <c r="D18" t="s">
        <v>315</v>
      </c>
      <c r="E18" t="s">
        <v>329</v>
      </c>
      <c r="F18">
        <v>6</v>
      </c>
      <c r="G18">
        <v>1200</v>
      </c>
      <c r="H18">
        <v>900</v>
      </c>
      <c r="I18">
        <v>0</v>
      </c>
      <c r="J18" t="s">
        <v>334</v>
      </c>
      <c r="K18" t="s">
        <v>336</v>
      </c>
    </row>
    <row r="19" spans="1:11" x14ac:dyDescent="0.25">
      <c r="A19" t="s">
        <v>28</v>
      </c>
      <c r="B19" t="s">
        <v>148</v>
      </c>
      <c r="C19" t="s">
        <v>267</v>
      </c>
      <c r="D19" t="s">
        <v>315</v>
      </c>
      <c r="E19" t="s">
        <v>329</v>
      </c>
      <c r="F19">
        <v>3</v>
      </c>
      <c r="G19">
        <v>1200</v>
      </c>
      <c r="H19">
        <v>900</v>
      </c>
      <c r="I19">
        <v>0</v>
      </c>
      <c r="J19" t="s">
        <v>330</v>
      </c>
      <c r="K19" t="s">
        <v>336</v>
      </c>
    </row>
    <row r="20" spans="1:11" x14ac:dyDescent="0.25">
      <c r="A20" t="s">
        <v>29</v>
      </c>
      <c r="B20" t="s">
        <v>149</v>
      </c>
      <c r="C20" t="s">
        <v>268</v>
      </c>
      <c r="D20" t="s">
        <v>315</v>
      </c>
      <c r="E20" t="s">
        <v>327</v>
      </c>
      <c r="F20">
        <v>6</v>
      </c>
      <c r="G20">
        <v>7500</v>
      </c>
      <c r="H20">
        <v>6300</v>
      </c>
      <c r="I20">
        <v>0.05</v>
      </c>
      <c r="J20" t="s">
        <v>334</v>
      </c>
      <c r="K20" t="s">
        <v>337</v>
      </c>
    </row>
    <row r="21" spans="1:11" x14ac:dyDescent="0.25">
      <c r="A21" t="s">
        <v>30</v>
      </c>
      <c r="B21" t="s">
        <v>150</v>
      </c>
      <c r="C21" t="s">
        <v>254</v>
      </c>
      <c r="D21" t="s">
        <v>315</v>
      </c>
      <c r="E21" t="s">
        <v>328</v>
      </c>
      <c r="F21">
        <v>7</v>
      </c>
      <c r="G21">
        <v>5000</v>
      </c>
      <c r="H21">
        <v>4000</v>
      </c>
      <c r="I21">
        <v>0.1</v>
      </c>
      <c r="J21" t="s">
        <v>344</v>
      </c>
      <c r="K21" t="s">
        <v>337</v>
      </c>
    </row>
    <row r="22" spans="1:11" x14ac:dyDescent="0.25">
      <c r="A22" t="s">
        <v>31</v>
      </c>
      <c r="B22" t="s">
        <v>151</v>
      </c>
      <c r="C22" t="s">
        <v>269</v>
      </c>
      <c r="D22" t="s">
        <v>315</v>
      </c>
      <c r="E22" t="s">
        <v>325</v>
      </c>
      <c r="F22">
        <v>6</v>
      </c>
      <c r="G22">
        <v>8500</v>
      </c>
      <c r="H22">
        <v>7000</v>
      </c>
      <c r="I22">
        <v>0.1</v>
      </c>
      <c r="J22" t="s">
        <v>334</v>
      </c>
      <c r="K22" t="s">
        <v>339</v>
      </c>
    </row>
    <row r="23" spans="1:11" x14ac:dyDescent="0.25">
      <c r="A23" t="s">
        <v>32</v>
      </c>
      <c r="B23" t="s">
        <v>152</v>
      </c>
      <c r="C23" t="s">
        <v>270</v>
      </c>
      <c r="D23" t="s">
        <v>319</v>
      </c>
      <c r="E23" t="s">
        <v>324</v>
      </c>
      <c r="F23">
        <v>6</v>
      </c>
      <c r="G23">
        <v>9000</v>
      </c>
      <c r="H23">
        <v>7600</v>
      </c>
      <c r="I23">
        <v>0.1</v>
      </c>
      <c r="J23" t="s">
        <v>332</v>
      </c>
      <c r="K23" t="s">
        <v>339</v>
      </c>
    </row>
    <row r="24" spans="1:11" x14ac:dyDescent="0.25">
      <c r="A24" t="s">
        <v>33</v>
      </c>
      <c r="B24" t="s">
        <v>153</v>
      </c>
      <c r="C24" t="s">
        <v>271</v>
      </c>
      <c r="D24" t="s">
        <v>319</v>
      </c>
      <c r="E24" t="s">
        <v>324</v>
      </c>
      <c r="F24">
        <v>5</v>
      </c>
      <c r="G24">
        <v>9000</v>
      </c>
      <c r="H24">
        <v>7600</v>
      </c>
      <c r="I24">
        <v>0</v>
      </c>
      <c r="J24" t="s">
        <v>334</v>
      </c>
      <c r="K24" t="s">
        <v>337</v>
      </c>
    </row>
    <row r="25" spans="1:11" x14ac:dyDescent="0.25">
      <c r="A25" t="s">
        <v>34</v>
      </c>
      <c r="B25" t="s">
        <v>154</v>
      </c>
      <c r="C25" t="s">
        <v>272</v>
      </c>
      <c r="D25" t="s">
        <v>321</v>
      </c>
      <c r="E25" t="s">
        <v>324</v>
      </c>
      <c r="F25">
        <v>2</v>
      </c>
      <c r="G25">
        <v>9000</v>
      </c>
      <c r="H25">
        <v>7600</v>
      </c>
      <c r="I25">
        <v>0.05</v>
      </c>
      <c r="J25" t="s">
        <v>334</v>
      </c>
      <c r="K25" t="s">
        <v>339</v>
      </c>
    </row>
    <row r="26" spans="1:11" x14ac:dyDescent="0.25">
      <c r="A26" t="s">
        <v>35</v>
      </c>
      <c r="B26" t="s">
        <v>155</v>
      </c>
      <c r="C26" t="s">
        <v>273</v>
      </c>
      <c r="D26" t="s">
        <v>321</v>
      </c>
      <c r="E26" t="s">
        <v>325</v>
      </c>
      <c r="F26">
        <v>6</v>
      </c>
      <c r="G26">
        <v>8500</v>
      </c>
      <c r="H26">
        <v>7000</v>
      </c>
      <c r="I26">
        <v>0.1</v>
      </c>
      <c r="J26" t="s">
        <v>330</v>
      </c>
      <c r="K26" t="s">
        <v>336</v>
      </c>
    </row>
    <row r="27" spans="1:11" x14ac:dyDescent="0.25">
      <c r="A27" t="s">
        <v>36</v>
      </c>
      <c r="B27" t="s">
        <v>156</v>
      </c>
      <c r="C27" t="s">
        <v>274</v>
      </c>
      <c r="D27" t="s">
        <v>315</v>
      </c>
      <c r="E27" t="s">
        <v>325</v>
      </c>
      <c r="F27">
        <v>3</v>
      </c>
      <c r="G27">
        <v>8500</v>
      </c>
      <c r="H27">
        <v>7000</v>
      </c>
      <c r="I27">
        <v>0.05</v>
      </c>
      <c r="J27" t="s">
        <v>344</v>
      </c>
      <c r="K27" t="s">
        <v>336</v>
      </c>
    </row>
    <row r="28" spans="1:11" x14ac:dyDescent="0.25">
      <c r="A28" t="s">
        <v>37</v>
      </c>
      <c r="B28" t="s">
        <v>157</v>
      </c>
      <c r="C28" t="s">
        <v>275</v>
      </c>
      <c r="D28" t="s">
        <v>318</v>
      </c>
      <c r="E28" t="s">
        <v>325</v>
      </c>
      <c r="F28">
        <v>4</v>
      </c>
      <c r="G28">
        <v>8500</v>
      </c>
      <c r="H28">
        <v>7000</v>
      </c>
      <c r="I28">
        <v>0.1</v>
      </c>
      <c r="J28" t="s">
        <v>344</v>
      </c>
      <c r="K28" t="s">
        <v>336</v>
      </c>
    </row>
    <row r="29" spans="1:11" x14ac:dyDescent="0.25">
      <c r="A29" t="s">
        <v>38</v>
      </c>
      <c r="B29" t="s">
        <v>158</v>
      </c>
      <c r="C29" t="s">
        <v>276</v>
      </c>
      <c r="D29" t="s">
        <v>318</v>
      </c>
      <c r="E29" t="s">
        <v>322</v>
      </c>
      <c r="F29">
        <v>3</v>
      </c>
      <c r="G29">
        <v>8500</v>
      </c>
      <c r="H29">
        <v>7000</v>
      </c>
      <c r="I29">
        <v>0.1</v>
      </c>
      <c r="J29" t="s">
        <v>330</v>
      </c>
      <c r="K29" t="s">
        <v>336</v>
      </c>
    </row>
    <row r="30" spans="1:11" x14ac:dyDescent="0.25">
      <c r="A30" t="s">
        <v>39</v>
      </c>
      <c r="B30" t="s">
        <v>159</v>
      </c>
      <c r="C30" t="s">
        <v>277</v>
      </c>
      <c r="D30" t="s">
        <v>315</v>
      </c>
      <c r="E30" t="s">
        <v>324</v>
      </c>
      <c r="F30">
        <v>3</v>
      </c>
      <c r="G30">
        <v>9000</v>
      </c>
      <c r="H30">
        <v>7600</v>
      </c>
      <c r="I30">
        <v>0</v>
      </c>
      <c r="J30" t="s">
        <v>330</v>
      </c>
      <c r="K30" t="s">
        <v>339</v>
      </c>
    </row>
    <row r="31" spans="1:11" x14ac:dyDescent="0.25">
      <c r="A31" t="s">
        <v>40</v>
      </c>
      <c r="B31" t="s">
        <v>160</v>
      </c>
      <c r="C31" t="s">
        <v>275</v>
      </c>
      <c r="D31" t="s">
        <v>315</v>
      </c>
      <c r="E31" t="s">
        <v>324</v>
      </c>
      <c r="F31">
        <v>2</v>
      </c>
      <c r="G31">
        <v>9000</v>
      </c>
      <c r="H31">
        <v>7600</v>
      </c>
      <c r="I31">
        <v>0</v>
      </c>
      <c r="J31" t="s">
        <v>330</v>
      </c>
      <c r="K31" t="s">
        <v>336</v>
      </c>
    </row>
    <row r="32" spans="1:11" x14ac:dyDescent="0.25">
      <c r="A32" t="s">
        <v>41</v>
      </c>
      <c r="B32" t="s">
        <v>161</v>
      </c>
      <c r="C32" t="s">
        <v>255</v>
      </c>
      <c r="D32" t="s">
        <v>319</v>
      </c>
      <c r="E32" t="s">
        <v>329</v>
      </c>
      <c r="F32">
        <v>7</v>
      </c>
      <c r="G32">
        <v>1200</v>
      </c>
      <c r="H32">
        <v>900</v>
      </c>
      <c r="I32">
        <v>0</v>
      </c>
      <c r="J32" t="s">
        <v>334</v>
      </c>
      <c r="K32" t="s">
        <v>336</v>
      </c>
    </row>
    <row r="33" spans="1:11" x14ac:dyDescent="0.25">
      <c r="A33" t="s">
        <v>42</v>
      </c>
      <c r="B33" t="s">
        <v>162</v>
      </c>
      <c r="C33" t="s">
        <v>278</v>
      </c>
      <c r="D33" t="s">
        <v>315</v>
      </c>
      <c r="E33" t="s">
        <v>324</v>
      </c>
      <c r="F33">
        <v>2</v>
      </c>
      <c r="G33">
        <v>9000</v>
      </c>
      <c r="H33">
        <v>7600</v>
      </c>
      <c r="I33">
        <v>0</v>
      </c>
      <c r="J33" t="s">
        <v>332</v>
      </c>
      <c r="K33" t="s">
        <v>336</v>
      </c>
    </row>
    <row r="34" spans="1:11" x14ac:dyDescent="0.25">
      <c r="A34" t="s">
        <v>43</v>
      </c>
      <c r="B34" t="s">
        <v>163</v>
      </c>
      <c r="C34" t="s">
        <v>279</v>
      </c>
      <c r="D34" t="s">
        <v>315</v>
      </c>
      <c r="E34" t="s">
        <v>328</v>
      </c>
      <c r="F34">
        <v>1</v>
      </c>
      <c r="G34">
        <v>5000</v>
      </c>
      <c r="H34">
        <v>4000</v>
      </c>
      <c r="I34">
        <v>0</v>
      </c>
      <c r="J34" t="s">
        <v>334</v>
      </c>
      <c r="K34" t="s">
        <v>339</v>
      </c>
    </row>
    <row r="35" spans="1:11" x14ac:dyDescent="0.25">
      <c r="A35" t="s">
        <v>44</v>
      </c>
      <c r="B35" t="s">
        <v>164</v>
      </c>
      <c r="C35" t="s">
        <v>280</v>
      </c>
      <c r="D35" t="s">
        <v>321</v>
      </c>
      <c r="E35" t="s">
        <v>326</v>
      </c>
      <c r="F35">
        <v>7</v>
      </c>
      <c r="G35">
        <v>1800</v>
      </c>
      <c r="H35">
        <v>1400</v>
      </c>
      <c r="I35">
        <v>0</v>
      </c>
      <c r="J35" t="s">
        <v>334</v>
      </c>
      <c r="K35" t="s">
        <v>336</v>
      </c>
    </row>
    <row r="36" spans="1:11" x14ac:dyDescent="0.25">
      <c r="A36" t="s">
        <v>45</v>
      </c>
      <c r="B36" t="s">
        <v>165</v>
      </c>
      <c r="C36" t="s">
        <v>281</v>
      </c>
      <c r="D36" t="s">
        <v>318</v>
      </c>
      <c r="E36" t="s">
        <v>329</v>
      </c>
      <c r="F36">
        <v>4</v>
      </c>
      <c r="G36">
        <v>1200</v>
      </c>
      <c r="H36">
        <v>900</v>
      </c>
      <c r="I36">
        <v>0.05</v>
      </c>
      <c r="J36" t="s">
        <v>334</v>
      </c>
      <c r="K36" t="s">
        <v>337</v>
      </c>
    </row>
    <row r="37" spans="1:11" x14ac:dyDescent="0.25">
      <c r="A37" t="s">
        <v>46</v>
      </c>
      <c r="B37" t="s">
        <v>166</v>
      </c>
      <c r="C37" t="s">
        <v>260</v>
      </c>
      <c r="D37" t="s">
        <v>318</v>
      </c>
      <c r="E37" t="s">
        <v>322</v>
      </c>
      <c r="F37">
        <v>4</v>
      </c>
      <c r="G37">
        <v>8500</v>
      </c>
      <c r="H37">
        <v>7000</v>
      </c>
      <c r="I37">
        <v>0</v>
      </c>
      <c r="J37" t="s">
        <v>334</v>
      </c>
      <c r="K37" t="s">
        <v>336</v>
      </c>
    </row>
    <row r="38" spans="1:11" x14ac:dyDescent="0.25">
      <c r="A38" t="s">
        <v>47</v>
      </c>
      <c r="B38" t="s">
        <v>167</v>
      </c>
      <c r="C38" t="s">
        <v>276</v>
      </c>
      <c r="D38" t="s">
        <v>318</v>
      </c>
      <c r="E38" t="s">
        <v>325</v>
      </c>
      <c r="F38">
        <v>6</v>
      </c>
      <c r="G38">
        <v>8500</v>
      </c>
      <c r="H38">
        <v>7000</v>
      </c>
      <c r="I38">
        <v>0</v>
      </c>
      <c r="J38" t="s">
        <v>334</v>
      </c>
      <c r="K38" t="s">
        <v>336</v>
      </c>
    </row>
    <row r="39" spans="1:11" x14ac:dyDescent="0.25">
      <c r="A39" t="s">
        <v>48</v>
      </c>
      <c r="B39" t="s">
        <v>168</v>
      </c>
      <c r="C39" t="s">
        <v>256</v>
      </c>
      <c r="D39" t="s">
        <v>315</v>
      </c>
      <c r="E39" t="s">
        <v>324</v>
      </c>
      <c r="F39">
        <v>3</v>
      </c>
      <c r="G39">
        <v>9000</v>
      </c>
      <c r="H39">
        <v>7600</v>
      </c>
      <c r="I39">
        <v>0.05</v>
      </c>
      <c r="J39" t="s">
        <v>334</v>
      </c>
      <c r="K39" t="s">
        <v>336</v>
      </c>
    </row>
    <row r="40" spans="1:11" x14ac:dyDescent="0.25">
      <c r="A40" t="s">
        <v>49</v>
      </c>
      <c r="B40" t="s">
        <v>169</v>
      </c>
      <c r="C40" t="s">
        <v>259</v>
      </c>
      <c r="D40" t="s">
        <v>315</v>
      </c>
      <c r="E40" t="s">
        <v>328</v>
      </c>
      <c r="F40">
        <v>1</v>
      </c>
      <c r="G40">
        <v>5000</v>
      </c>
      <c r="H40">
        <v>4000</v>
      </c>
      <c r="I40">
        <v>0</v>
      </c>
      <c r="J40" t="s">
        <v>344</v>
      </c>
      <c r="K40" t="s">
        <v>336</v>
      </c>
    </row>
    <row r="41" spans="1:11" x14ac:dyDescent="0.25">
      <c r="A41" t="s">
        <v>50</v>
      </c>
      <c r="B41" t="s">
        <v>170</v>
      </c>
      <c r="C41" t="s">
        <v>274</v>
      </c>
      <c r="D41" t="s">
        <v>315</v>
      </c>
      <c r="E41" t="s">
        <v>328</v>
      </c>
      <c r="F41">
        <v>6</v>
      </c>
      <c r="G41">
        <v>5000</v>
      </c>
      <c r="H41">
        <v>4000</v>
      </c>
      <c r="I41">
        <v>0.05</v>
      </c>
      <c r="J41" t="s">
        <v>344</v>
      </c>
      <c r="K41" t="s">
        <v>336</v>
      </c>
    </row>
    <row r="42" spans="1:11" x14ac:dyDescent="0.25">
      <c r="A42" t="s">
        <v>51</v>
      </c>
      <c r="B42" t="s">
        <v>171</v>
      </c>
      <c r="C42" t="s">
        <v>282</v>
      </c>
      <c r="D42" t="s">
        <v>319</v>
      </c>
      <c r="E42" t="s">
        <v>324</v>
      </c>
      <c r="F42">
        <v>2</v>
      </c>
      <c r="G42">
        <v>9000</v>
      </c>
      <c r="H42">
        <v>7600</v>
      </c>
      <c r="I42">
        <v>0</v>
      </c>
      <c r="J42" t="s">
        <v>330</v>
      </c>
      <c r="K42" t="s">
        <v>336</v>
      </c>
    </row>
    <row r="43" spans="1:11" x14ac:dyDescent="0.25">
      <c r="A43" t="s">
        <v>52</v>
      </c>
      <c r="B43" t="s">
        <v>172</v>
      </c>
      <c r="C43" t="s">
        <v>252</v>
      </c>
      <c r="D43" t="s">
        <v>318</v>
      </c>
      <c r="E43" t="s">
        <v>322</v>
      </c>
      <c r="F43">
        <v>4</v>
      </c>
      <c r="G43">
        <v>8500</v>
      </c>
      <c r="H43">
        <v>7000</v>
      </c>
      <c r="I43">
        <v>0.1</v>
      </c>
      <c r="J43" t="s">
        <v>334</v>
      </c>
      <c r="K43" t="s">
        <v>336</v>
      </c>
    </row>
    <row r="44" spans="1:11" x14ac:dyDescent="0.25">
      <c r="A44" t="s">
        <v>53</v>
      </c>
      <c r="B44" t="s">
        <v>173</v>
      </c>
      <c r="C44" t="s">
        <v>283</v>
      </c>
      <c r="D44" t="s">
        <v>315</v>
      </c>
      <c r="E44" t="s">
        <v>328</v>
      </c>
      <c r="F44">
        <v>7</v>
      </c>
      <c r="G44">
        <v>5000</v>
      </c>
      <c r="H44">
        <v>4000</v>
      </c>
      <c r="I44">
        <v>0</v>
      </c>
      <c r="J44" t="s">
        <v>334</v>
      </c>
      <c r="K44" t="s">
        <v>336</v>
      </c>
    </row>
    <row r="45" spans="1:11" x14ac:dyDescent="0.25">
      <c r="A45" t="s">
        <v>54</v>
      </c>
      <c r="B45" t="s">
        <v>174</v>
      </c>
      <c r="C45" t="s">
        <v>284</v>
      </c>
      <c r="D45" t="s">
        <v>318</v>
      </c>
      <c r="E45" t="s">
        <v>324</v>
      </c>
      <c r="F45">
        <v>7</v>
      </c>
      <c r="G45">
        <v>9000</v>
      </c>
      <c r="H45">
        <v>7600</v>
      </c>
      <c r="I45">
        <v>0</v>
      </c>
      <c r="J45" t="s">
        <v>334</v>
      </c>
      <c r="K45" t="s">
        <v>339</v>
      </c>
    </row>
    <row r="46" spans="1:11" x14ac:dyDescent="0.25">
      <c r="A46" t="s">
        <v>55</v>
      </c>
      <c r="B46" t="s">
        <v>175</v>
      </c>
      <c r="C46" t="s">
        <v>251</v>
      </c>
      <c r="D46" t="s">
        <v>318</v>
      </c>
      <c r="E46" t="s">
        <v>327</v>
      </c>
      <c r="F46">
        <v>3</v>
      </c>
      <c r="G46">
        <v>7500</v>
      </c>
      <c r="H46">
        <v>6300</v>
      </c>
      <c r="I46">
        <v>0.1</v>
      </c>
      <c r="J46" t="s">
        <v>330</v>
      </c>
      <c r="K46" t="s">
        <v>336</v>
      </c>
    </row>
    <row r="47" spans="1:11" x14ac:dyDescent="0.25">
      <c r="A47" t="s">
        <v>56</v>
      </c>
      <c r="B47" t="s">
        <v>176</v>
      </c>
      <c r="C47" t="s">
        <v>285</v>
      </c>
      <c r="D47" t="s">
        <v>321</v>
      </c>
      <c r="E47" t="s">
        <v>326</v>
      </c>
      <c r="F47">
        <v>6</v>
      </c>
      <c r="G47">
        <v>1800</v>
      </c>
      <c r="H47">
        <v>1400</v>
      </c>
      <c r="I47">
        <v>0.05</v>
      </c>
      <c r="J47" t="s">
        <v>330</v>
      </c>
      <c r="K47" t="s">
        <v>336</v>
      </c>
    </row>
    <row r="48" spans="1:11" x14ac:dyDescent="0.25">
      <c r="A48" t="s">
        <v>57</v>
      </c>
      <c r="B48" t="s">
        <v>177</v>
      </c>
      <c r="C48" t="s">
        <v>286</v>
      </c>
      <c r="D48" t="s">
        <v>315</v>
      </c>
      <c r="E48" t="s">
        <v>327</v>
      </c>
      <c r="F48">
        <v>5</v>
      </c>
      <c r="G48">
        <v>7500</v>
      </c>
      <c r="H48">
        <v>6300</v>
      </c>
      <c r="I48">
        <v>0</v>
      </c>
      <c r="J48" t="s">
        <v>334</v>
      </c>
      <c r="K48" t="s">
        <v>339</v>
      </c>
    </row>
    <row r="49" spans="1:11" x14ac:dyDescent="0.25">
      <c r="A49" t="s">
        <v>58</v>
      </c>
      <c r="B49" t="s">
        <v>178</v>
      </c>
      <c r="C49" t="s">
        <v>276</v>
      </c>
      <c r="D49" t="s">
        <v>315</v>
      </c>
      <c r="E49" t="s">
        <v>324</v>
      </c>
      <c r="F49">
        <v>4</v>
      </c>
      <c r="G49">
        <v>9000</v>
      </c>
      <c r="H49">
        <v>7600</v>
      </c>
      <c r="I49">
        <v>0</v>
      </c>
      <c r="J49" t="s">
        <v>334</v>
      </c>
      <c r="K49" t="s">
        <v>339</v>
      </c>
    </row>
    <row r="50" spans="1:11" x14ac:dyDescent="0.25">
      <c r="A50" t="s">
        <v>59</v>
      </c>
      <c r="B50" t="s">
        <v>179</v>
      </c>
      <c r="C50" t="s">
        <v>287</v>
      </c>
      <c r="D50" t="s">
        <v>315</v>
      </c>
      <c r="E50" t="s">
        <v>324</v>
      </c>
      <c r="F50">
        <v>1</v>
      </c>
      <c r="G50">
        <v>9000</v>
      </c>
      <c r="H50">
        <v>7600</v>
      </c>
      <c r="I50">
        <v>0</v>
      </c>
      <c r="J50" t="s">
        <v>334</v>
      </c>
      <c r="K50" t="s">
        <v>336</v>
      </c>
    </row>
    <row r="51" spans="1:11" x14ac:dyDescent="0.25">
      <c r="A51" t="s">
        <v>60</v>
      </c>
      <c r="B51" t="s">
        <v>180</v>
      </c>
      <c r="C51" t="s">
        <v>263</v>
      </c>
      <c r="D51" t="s">
        <v>318</v>
      </c>
      <c r="E51" t="s">
        <v>325</v>
      </c>
      <c r="F51">
        <v>3</v>
      </c>
      <c r="G51">
        <v>8500</v>
      </c>
      <c r="H51">
        <v>7000</v>
      </c>
      <c r="I51">
        <v>0</v>
      </c>
      <c r="J51" t="s">
        <v>334</v>
      </c>
      <c r="K51" t="s">
        <v>336</v>
      </c>
    </row>
    <row r="52" spans="1:11" x14ac:dyDescent="0.25">
      <c r="A52" t="s">
        <v>61</v>
      </c>
      <c r="B52" t="s">
        <v>181</v>
      </c>
      <c r="C52" t="s">
        <v>263</v>
      </c>
      <c r="D52" t="s">
        <v>315</v>
      </c>
      <c r="E52" t="s">
        <v>324</v>
      </c>
      <c r="F52">
        <v>5</v>
      </c>
      <c r="G52">
        <v>9000</v>
      </c>
      <c r="H52">
        <v>7600</v>
      </c>
      <c r="I52">
        <v>0</v>
      </c>
      <c r="J52" t="s">
        <v>344</v>
      </c>
      <c r="K52" t="s">
        <v>339</v>
      </c>
    </row>
    <row r="53" spans="1:11" x14ac:dyDescent="0.25">
      <c r="A53" t="s">
        <v>62</v>
      </c>
      <c r="B53" t="s">
        <v>182</v>
      </c>
      <c r="C53" t="s">
        <v>267</v>
      </c>
      <c r="D53" t="s">
        <v>319</v>
      </c>
      <c r="E53" t="s">
        <v>324</v>
      </c>
      <c r="F53">
        <v>7</v>
      </c>
      <c r="G53">
        <v>9000</v>
      </c>
      <c r="H53">
        <v>7600</v>
      </c>
      <c r="I53">
        <v>0.05</v>
      </c>
      <c r="J53" t="s">
        <v>334</v>
      </c>
      <c r="K53" t="s">
        <v>336</v>
      </c>
    </row>
    <row r="54" spans="1:11" x14ac:dyDescent="0.25">
      <c r="A54" t="s">
        <v>63</v>
      </c>
      <c r="B54" t="s">
        <v>183</v>
      </c>
      <c r="C54" t="s">
        <v>288</v>
      </c>
      <c r="D54" t="s">
        <v>321</v>
      </c>
      <c r="E54" t="s">
        <v>328</v>
      </c>
      <c r="F54">
        <v>1</v>
      </c>
      <c r="G54">
        <v>5000</v>
      </c>
      <c r="H54">
        <v>4000</v>
      </c>
      <c r="I54">
        <v>0</v>
      </c>
      <c r="J54" t="s">
        <v>334</v>
      </c>
      <c r="K54" t="s">
        <v>336</v>
      </c>
    </row>
    <row r="55" spans="1:11" x14ac:dyDescent="0.25">
      <c r="A55" t="s">
        <v>64</v>
      </c>
      <c r="B55" t="s">
        <v>184</v>
      </c>
      <c r="C55" t="s">
        <v>289</v>
      </c>
      <c r="D55" t="s">
        <v>319</v>
      </c>
      <c r="E55" t="s">
        <v>324</v>
      </c>
      <c r="F55">
        <v>6</v>
      </c>
      <c r="G55">
        <v>9000</v>
      </c>
      <c r="H55">
        <v>7600</v>
      </c>
      <c r="I55">
        <v>0.1</v>
      </c>
      <c r="J55" t="s">
        <v>330</v>
      </c>
      <c r="K55" t="s">
        <v>336</v>
      </c>
    </row>
    <row r="56" spans="1:11" x14ac:dyDescent="0.25">
      <c r="A56" t="s">
        <v>65</v>
      </c>
      <c r="B56" t="s">
        <v>185</v>
      </c>
      <c r="C56" t="s">
        <v>289</v>
      </c>
      <c r="D56" t="s">
        <v>315</v>
      </c>
      <c r="E56" t="s">
        <v>325</v>
      </c>
      <c r="F56">
        <v>6</v>
      </c>
      <c r="G56">
        <v>8500</v>
      </c>
      <c r="H56">
        <v>7000</v>
      </c>
      <c r="I56">
        <v>0.05</v>
      </c>
      <c r="J56" t="s">
        <v>344</v>
      </c>
      <c r="K56" t="s">
        <v>339</v>
      </c>
    </row>
    <row r="57" spans="1:11" x14ac:dyDescent="0.25">
      <c r="A57" t="s">
        <v>66</v>
      </c>
      <c r="B57" t="s">
        <v>186</v>
      </c>
      <c r="C57" t="s">
        <v>251</v>
      </c>
      <c r="D57" t="s">
        <v>315</v>
      </c>
      <c r="E57" t="s">
        <v>329</v>
      </c>
      <c r="F57">
        <v>7</v>
      </c>
      <c r="G57">
        <v>1200</v>
      </c>
      <c r="H57">
        <v>900</v>
      </c>
      <c r="I57">
        <v>0.05</v>
      </c>
      <c r="J57" t="s">
        <v>335</v>
      </c>
      <c r="K57" t="s">
        <v>339</v>
      </c>
    </row>
    <row r="58" spans="1:11" x14ac:dyDescent="0.25">
      <c r="A58" t="s">
        <v>67</v>
      </c>
      <c r="B58" t="s">
        <v>187</v>
      </c>
      <c r="C58" t="s">
        <v>290</v>
      </c>
      <c r="D58" t="s">
        <v>321</v>
      </c>
      <c r="E58" t="s">
        <v>324</v>
      </c>
      <c r="F58">
        <v>3</v>
      </c>
      <c r="G58">
        <v>9000</v>
      </c>
      <c r="H58">
        <v>7600</v>
      </c>
      <c r="I58">
        <v>0</v>
      </c>
      <c r="J58" t="s">
        <v>344</v>
      </c>
      <c r="K58" t="s">
        <v>336</v>
      </c>
    </row>
    <row r="59" spans="1:11" x14ac:dyDescent="0.25">
      <c r="A59" t="s">
        <v>68</v>
      </c>
      <c r="B59" t="s">
        <v>188</v>
      </c>
      <c r="C59" t="s">
        <v>291</v>
      </c>
      <c r="D59" t="s">
        <v>318</v>
      </c>
      <c r="E59" t="s">
        <v>325</v>
      </c>
      <c r="F59">
        <v>1</v>
      </c>
      <c r="G59">
        <v>8500</v>
      </c>
      <c r="H59">
        <v>7000</v>
      </c>
      <c r="I59">
        <v>0</v>
      </c>
      <c r="J59" t="s">
        <v>334</v>
      </c>
      <c r="K59" t="s">
        <v>336</v>
      </c>
    </row>
    <row r="60" spans="1:11" x14ac:dyDescent="0.25">
      <c r="A60" t="s">
        <v>69</v>
      </c>
      <c r="B60" t="s">
        <v>189</v>
      </c>
      <c r="C60" t="s">
        <v>273</v>
      </c>
      <c r="D60" t="s">
        <v>319</v>
      </c>
      <c r="E60" t="s">
        <v>328</v>
      </c>
      <c r="F60">
        <v>2</v>
      </c>
      <c r="G60">
        <v>5000</v>
      </c>
      <c r="H60">
        <v>4000</v>
      </c>
      <c r="I60">
        <v>0</v>
      </c>
      <c r="J60" t="s">
        <v>344</v>
      </c>
      <c r="K60" t="s">
        <v>337</v>
      </c>
    </row>
    <row r="61" spans="1:11" x14ac:dyDescent="0.25">
      <c r="A61" t="s">
        <v>70</v>
      </c>
      <c r="B61" t="s">
        <v>190</v>
      </c>
      <c r="C61" t="s">
        <v>292</v>
      </c>
      <c r="D61" t="s">
        <v>315</v>
      </c>
      <c r="E61" t="s">
        <v>326</v>
      </c>
      <c r="F61">
        <v>6</v>
      </c>
      <c r="G61">
        <v>1800</v>
      </c>
      <c r="H61">
        <v>1400</v>
      </c>
      <c r="I61">
        <v>0.05</v>
      </c>
      <c r="J61" t="s">
        <v>334</v>
      </c>
      <c r="K61" t="s">
        <v>336</v>
      </c>
    </row>
    <row r="62" spans="1:11" x14ac:dyDescent="0.25">
      <c r="A62" t="s">
        <v>71</v>
      </c>
      <c r="B62" t="s">
        <v>191</v>
      </c>
      <c r="C62" t="s">
        <v>293</v>
      </c>
      <c r="D62" t="s">
        <v>318</v>
      </c>
      <c r="E62" t="s">
        <v>324</v>
      </c>
      <c r="F62">
        <v>7</v>
      </c>
      <c r="G62">
        <v>9000</v>
      </c>
      <c r="H62">
        <v>7600</v>
      </c>
      <c r="I62">
        <v>0</v>
      </c>
      <c r="J62" t="s">
        <v>332</v>
      </c>
      <c r="K62" t="s">
        <v>337</v>
      </c>
    </row>
    <row r="63" spans="1:11" x14ac:dyDescent="0.25">
      <c r="A63" t="s">
        <v>72</v>
      </c>
      <c r="B63" t="s">
        <v>192</v>
      </c>
      <c r="C63" t="s">
        <v>294</v>
      </c>
      <c r="D63" t="s">
        <v>315</v>
      </c>
      <c r="E63" t="s">
        <v>329</v>
      </c>
      <c r="F63">
        <v>5</v>
      </c>
      <c r="G63">
        <v>1200</v>
      </c>
      <c r="H63">
        <v>900</v>
      </c>
      <c r="I63">
        <v>0</v>
      </c>
      <c r="J63" t="s">
        <v>334</v>
      </c>
      <c r="K63" t="s">
        <v>336</v>
      </c>
    </row>
    <row r="64" spans="1:11" x14ac:dyDescent="0.25">
      <c r="A64" t="s">
        <v>73</v>
      </c>
      <c r="B64" t="s">
        <v>193</v>
      </c>
      <c r="C64" t="s">
        <v>284</v>
      </c>
      <c r="D64" t="s">
        <v>315</v>
      </c>
      <c r="E64" t="s">
        <v>322</v>
      </c>
      <c r="F64">
        <v>1</v>
      </c>
      <c r="G64">
        <v>8500</v>
      </c>
      <c r="H64">
        <v>7000</v>
      </c>
      <c r="I64">
        <v>0</v>
      </c>
      <c r="J64" t="s">
        <v>334</v>
      </c>
      <c r="K64" t="s">
        <v>337</v>
      </c>
    </row>
    <row r="65" spans="1:11" x14ac:dyDescent="0.25">
      <c r="A65" t="s">
        <v>74</v>
      </c>
      <c r="B65" t="s">
        <v>194</v>
      </c>
      <c r="C65" t="s">
        <v>295</v>
      </c>
      <c r="D65" t="s">
        <v>321</v>
      </c>
      <c r="E65" t="s">
        <v>326</v>
      </c>
      <c r="F65">
        <v>1</v>
      </c>
      <c r="G65">
        <v>1800</v>
      </c>
      <c r="H65">
        <v>1400</v>
      </c>
      <c r="I65">
        <v>0.1</v>
      </c>
      <c r="J65" t="s">
        <v>334</v>
      </c>
      <c r="K65" t="s">
        <v>336</v>
      </c>
    </row>
    <row r="66" spans="1:11" x14ac:dyDescent="0.25">
      <c r="A66" t="s">
        <v>75</v>
      </c>
      <c r="B66" t="s">
        <v>195</v>
      </c>
      <c r="C66" t="s">
        <v>254</v>
      </c>
      <c r="D66" t="s">
        <v>315</v>
      </c>
      <c r="E66" t="s">
        <v>327</v>
      </c>
      <c r="F66">
        <v>4</v>
      </c>
      <c r="G66">
        <v>7500</v>
      </c>
      <c r="H66">
        <v>6300</v>
      </c>
      <c r="I66">
        <v>0</v>
      </c>
      <c r="J66" t="s">
        <v>334</v>
      </c>
      <c r="K66" t="s">
        <v>339</v>
      </c>
    </row>
    <row r="67" spans="1:11" x14ac:dyDescent="0.25">
      <c r="A67" t="s">
        <v>76</v>
      </c>
      <c r="B67" t="s">
        <v>196</v>
      </c>
      <c r="C67" t="s">
        <v>284</v>
      </c>
      <c r="D67" t="s">
        <v>315</v>
      </c>
      <c r="E67" t="s">
        <v>324</v>
      </c>
      <c r="F67">
        <v>5</v>
      </c>
      <c r="G67">
        <v>9000</v>
      </c>
      <c r="H67">
        <v>7600</v>
      </c>
      <c r="I67">
        <v>0.05</v>
      </c>
      <c r="J67" t="s">
        <v>334</v>
      </c>
      <c r="K67" t="s">
        <v>336</v>
      </c>
    </row>
    <row r="68" spans="1:11" x14ac:dyDescent="0.25">
      <c r="A68" t="s">
        <v>77</v>
      </c>
      <c r="B68" t="s">
        <v>197</v>
      </c>
      <c r="C68" t="s">
        <v>296</v>
      </c>
      <c r="D68" t="s">
        <v>319</v>
      </c>
      <c r="E68" t="s">
        <v>322</v>
      </c>
      <c r="F68">
        <v>1</v>
      </c>
      <c r="G68">
        <v>8500</v>
      </c>
      <c r="H68">
        <v>7000</v>
      </c>
      <c r="I68">
        <v>0</v>
      </c>
      <c r="J68" t="s">
        <v>344</v>
      </c>
      <c r="K68" t="s">
        <v>339</v>
      </c>
    </row>
    <row r="69" spans="1:11" x14ac:dyDescent="0.25">
      <c r="A69" t="s">
        <v>78</v>
      </c>
      <c r="B69" t="s">
        <v>198</v>
      </c>
      <c r="C69" t="s">
        <v>284</v>
      </c>
      <c r="D69" t="s">
        <v>315</v>
      </c>
      <c r="E69" t="s">
        <v>322</v>
      </c>
      <c r="F69">
        <v>5</v>
      </c>
      <c r="G69">
        <v>8500</v>
      </c>
      <c r="H69">
        <v>7000</v>
      </c>
      <c r="I69">
        <v>0</v>
      </c>
      <c r="J69" t="s">
        <v>344</v>
      </c>
      <c r="K69" t="s">
        <v>336</v>
      </c>
    </row>
    <row r="70" spans="1:11" x14ac:dyDescent="0.25">
      <c r="A70" t="s">
        <v>79</v>
      </c>
      <c r="B70" t="s">
        <v>199</v>
      </c>
      <c r="C70" t="s">
        <v>297</v>
      </c>
      <c r="D70" t="s">
        <v>319</v>
      </c>
      <c r="E70" t="s">
        <v>325</v>
      </c>
      <c r="F70">
        <v>4</v>
      </c>
      <c r="G70">
        <v>8500</v>
      </c>
      <c r="H70">
        <v>7000</v>
      </c>
      <c r="I70">
        <v>0</v>
      </c>
      <c r="J70" t="s">
        <v>344</v>
      </c>
      <c r="K70" t="s">
        <v>336</v>
      </c>
    </row>
    <row r="71" spans="1:11" x14ac:dyDescent="0.25">
      <c r="A71" t="s">
        <v>80</v>
      </c>
      <c r="B71" t="s">
        <v>200</v>
      </c>
      <c r="C71" t="s">
        <v>286</v>
      </c>
      <c r="D71" t="s">
        <v>315</v>
      </c>
      <c r="E71" t="s">
        <v>329</v>
      </c>
      <c r="F71">
        <v>1</v>
      </c>
      <c r="G71">
        <v>1200</v>
      </c>
      <c r="H71">
        <v>900</v>
      </c>
      <c r="I71">
        <v>0</v>
      </c>
      <c r="J71" t="s">
        <v>332</v>
      </c>
      <c r="K71" t="s">
        <v>337</v>
      </c>
    </row>
    <row r="72" spans="1:11" x14ac:dyDescent="0.25">
      <c r="A72" t="s">
        <v>81</v>
      </c>
      <c r="B72" t="s">
        <v>201</v>
      </c>
      <c r="C72" t="s">
        <v>252</v>
      </c>
      <c r="D72" t="s">
        <v>315</v>
      </c>
      <c r="E72" t="s">
        <v>325</v>
      </c>
      <c r="F72">
        <v>1</v>
      </c>
      <c r="G72">
        <v>8500</v>
      </c>
      <c r="H72">
        <v>7000</v>
      </c>
      <c r="I72">
        <v>0.05</v>
      </c>
      <c r="J72" t="s">
        <v>334</v>
      </c>
      <c r="K72" t="s">
        <v>336</v>
      </c>
    </row>
    <row r="73" spans="1:11" x14ac:dyDescent="0.25">
      <c r="A73" t="s">
        <v>82</v>
      </c>
      <c r="B73" t="s">
        <v>202</v>
      </c>
      <c r="C73" t="s">
        <v>298</v>
      </c>
      <c r="D73" t="s">
        <v>315</v>
      </c>
      <c r="E73" t="s">
        <v>329</v>
      </c>
      <c r="F73">
        <v>4</v>
      </c>
      <c r="G73">
        <v>1200</v>
      </c>
      <c r="H73">
        <v>900</v>
      </c>
      <c r="I73">
        <v>0</v>
      </c>
      <c r="J73" t="s">
        <v>330</v>
      </c>
      <c r="K73" t="s">
        <v>336</v>
      </c>
    </row>
    <row r="74" spans="1:11" x14ac:dyDescent="0.25">
      <c r="A74" t="s">
        <v>83</v>
      </c>
      <c r="B74" t="s">
        <v>203</v>
      </c>
      <c r="C74" t="s">
        <v>262</v>
      </c>
      <c r="D74" t="s">
        <v>315</v>
      </c>
      <c r="E74" t="s">
        <v>322</v>
      </c>
      <c r="F74">
        <v>6</v>
      </c>
      <c r="G74">
        <v>8500</v>
      </c>
      <c r="H74">
        <v>7000</v>
      </c>
      <c r="I74">
        <v>0</v>
      </c>
      <c r="J74" t="s">
        <v>334</v>
      </c>
      <c r="K74" t="s">
        <v>336</v>
      </c>
    </row>
    <row r="75" spans="1:11" x14ac:dyDescent="0.25">
      <c r="A75" t="s">
        <v>84</v>
      </c>
      <c r="B75" t="s">
        <v>204</v>
      </c>
      <c r="C75" t="s">
        <v>271</v>
      </c>
      <c r="D75" t="s">
        <v>319</v>
      </c>
      <c r="E75" t="s">
        <v>324</v>
      </c>
      <c r="F75">
        <v>6</v>
      </c>
      <c r="G75">
        <v>9000</v>
      </c>
      <c r="H75">
        <v>7600</v>
      </c>
      <c r="I75">
        <v>0.1</v>
      </c>
      <c r="J75" t="s">
        <v>330</v>
      </c>
      <c r="K75" t="s">
        <v>337</v>
      </c>
    </row>
    <row r="76" spans="1:11" x14ac:dyDescent="0.25">
      <c r="A76" t="s">
        <v>85</v>
      </c>
      <c r="B76" t="s">
        <v>205</v>
      </c>
      <c r="C76" t="s">
        <v>299</v>
      </c>
      <c r="D76" t="s">
        <v>319</v>
      </c>
      <c r="E76" t="s">
        <v>327</v>
      </c>
      <c r="F76">
        <v>4</v>
      </c>
      <c r="G76">
        <v>7500</v>
      </c>
      <c r="H76">
        <v>6300</v>
      </c>
      <c r="I76">
        <v>0</v>
      </c>
      <c r="J76" t="s">
        <v>334</v>
      </c>
      <c r="K76" t="s">
        <v>336</v>
      </c>
    </row>
    <row r="77" spans="1:11" x14ac:dyDescent="0.25">
      <c r="A77" t="s">
        <v>86</v>
      </c>
      <c r="B77" t="s">
        <v>206</v>
      </c>
      <c r="C77" t="s">
        <v>275</v>
      </c>
      <c r="D77" t="s">
        <v>315</v>
      </c>
      <c r="E77" t="s">
        <v>325</v>
      </c>
      <c r="F77">
        <v>3</v>
      </c>
      <c r="G77">
        <v>8500</v>
      </c>
      <c r="H77">
        <v>7000</v>
      </c>
      <c r="I77">
        <v>0</v>
      </c>
      <c r="J77" t="s">
        <v>344</v>
      </c>
      <c r="K77" t="s">
        <v>336</v>
      </c>
    </row>
    <row r="78" spans="1:11" x14ac:dyDescent="0.25">
      <c r="A78" t="s">
        <v>87</v>
      </c>
      <c r="B78" t="s">
        <v>207</v>
      </c>
      <c r="C78" t="s">
        <v>300</v>
      </c>
      <c r="D78" t="s">
        <v>315</v>
      </c>
      <c r="E78" t="s">
        <v>326</v>
      </c>
      <c r="F78">
        <v>7</v>
      </c>
      <c r="G78">
        <v>1800</v>
      </c>
      <c r="H78">
        <v>1400</v>
      </c>
      <c r="I78">
        <v>0</v>
      </c>
      <c r="J78" t="s">
        <v>332</v>
      </c>
      <c r="K78" t="s">
        <v>339</v>
      </c>
    </row>
    <row r="79" spans="1:11" x14ac:dyDescent="0.25">
      <c r="A79" t="s">
        <v>88</v>
      </c>
      <c r="B79" t="s">
        <v>208</v>
      </c>
      <c r="C79" t="s">
        <v>301</v>
      </c>
      <c r="D79" t="s">
        <v>315</v>
      </c>
      <c r="E79" t="s">
        <v>324</v>
      </c>
      <c r="F79">
        <v>4</v>
      </c>
      <c r="G79">
        <v>9000</v>
      </c>
      <c r="H79">
        <v>7600</v>
      </c>
      <c r="I79">
        <v>0.05</v>
      </c>
      <c r="J79" t="s">
        <v>334</v>
      </c>
      <c r="K79" t="s">
        <v>337</v>
      </c>
    </row>
    <row r="80" spans="1:11" x14ac:dyDescent="0.25">
      <c r="A80" t="s">
        <v>89</v>
      </c>
      <c r="B80" t="s">
        <v>209</v>
      </c>
      <c r="C80" t="s">
        <v>280</v>
      </c>
      <c r="D80" t="s">
        <v>321</v>
      </c>
      <c r="E80" t="s">
        <v>325</v>
      </c>
      <c r="F80">
        <v>3</v>
      </c>
      <c r="G80">
        <v>8500</v>
      </c>
      <c r="H80">
        <v>7000</v>
      </c>
      <c r="I80">
        <v>0</v>
      </c>
      <c r="J80" t="s">
        <v>332</v>
      </c>
      <c r="K80" t="s">
        <v>339</v>
      </c>
    </row>
    <row r="81" spans="1:11" x14ac:dyDescent="0.25">
      <c r="A81" t="s">
        <v>90</v>
      </c>
      <c r="B81" t="s">
        <v>210</v>
      </c>
      <c r="C81" t="s">
        <v>299</v>
      </c>
      <c r="D81" t="s">
        <v>315</v>
      </c>
      <c r="E81" t="s">
        <v>327</v>
      </c>
      <c r="F81">
        <v>4</v>
      </c>
      <c r="G81">
        <v>7500</v>
      </c>
      <c r="H81">
        <v>6300</v>
      </c>
      <c r="I81">
        <v>0.05</v>
      </c>
      <c r="J81" t="s">
        <v>334</v>
      </c>
      <c r="K81" t="s">
        <v>336</v>
      </c>
    </row>
    <row r="82" spans="1:11" x14ac:dyDescent="0.25">
      <c r="A82" t="s">
        <v>91</v>
      </c>
      <c r="B82" t="s">
        <v>211</v>
      </c>
      <c r="C82" t="s">
        <v>302</v>
      </c>
      <c r="D82" t="s">
        <v>319</v>
      </c>
      <c r="E82" t="s">
        <v>324</v>
      </c>
      <c r="F82">
        <v>1</v>
      </c>
      <c r="G82">
        <v>9000</v>
      </c>
      <c r="H82">
        <v>7600</v>
      </c>
      <c r="I82">
        <v>0.1</v>
      </c>
      <c r="J82" t="s">
        <v>344</v>
      </c>
      <c r="K82" t="s">
        <v>336</v>
      </c>
    </row>
    <row r="83" spans="1:11" x14ac:dyDescent="0.25">
      <c r="A83" t="s">
        <v>92</v>
      </c>
      <c r="B83" t="s">
        <v>212</v>
      </c>
      <c r="C83" t="s">
        <v>303</v>
      </c>
      <c r="D83" t="s">
        <v>315</v>
      </c>
      <c r="E83" t="s">
        <v>328</v>
      </c>
      <c r="F83">
        <v>3</v>
      </c>
      <c r="G83">
        <v>5000</v>
      </c>
      <c r="H83">
        <v>4000</v>
      </c>
      <c r="I83">
        <v>0</v>
      </c>
      <c r="J83" t="s">
        <v>334</v>
      </c>
      <c r="K83" t="s">
        <v>337</v>
      </c>
    </row>
    <row r="84" spans="1:11" x14ac:dyDescent="0.25">
      <c r="A84" t="s">
        <v>93</v>
      </c>
      <c r="B84" t="s">
        <v>213</v>
      </c>
      <c r="C84" t="s">
        <v>304</v>
      </c>
      <c r="D84" t="s">
        <v>315</v>
      </c>
      <c r="E84" t="s">
        <v>324</v>
      </c>
      <c r="F84">
        <v>4</v>
      </c>
      <c r="G84">
        <v>9000</v>
      </c>
      <c r="H84">
        <v>7600</v>
      </c>
      <c r="I84">
        <v>0</v>
      </c>
      <c r="J84" t="s">
        <v>344</v>
      </c>
      <c r="K84" t="s">
        <v>336</v>
      </c>
    </row>
    <row r="85" spans="1:11" x14ac:dyDescent="0.25">
      <c r="A85" t="s">
        <v>94</v>
      </c>
      <c r="B85" t="s">
        <v>214</v>
      </c>
      <c r="C85" t="s">
        <v>305</v>
      </c>
      <c r="D85" t="s">
        <v>321</v>
      </c>
      <c r="E85" t="s">
        <v>327</v>
      </c>
      <c r="F85">
        <v>7</v>
      </c>
      <c r="G85">
        <v>7500</v>
      </c>
      <c r="H85">
        <v>6300</v>
      </c>
      <c r="I85">
        <v>0</v>
      </c>
      <c r="J85" t="s">
        <v>334</v>
      </c>
      <c r="K85" t="s">
        <v>336</v>
      </c>
    </row>
    <row r="86" spans="1:11" x14ac:dyDescent="0.25">
      <c r="A86" t="s">
        <v>95</v>
      </c>
      <c r="B86" t="s">
        <v>215</v>
      </c>
      <c r="C86" t="s">
        <v>306</v>
      </c>
      <c r="D86" t="s">
        <v>321</v>
      </c>
      <c r="E86" t="s">
        <v>326</v>
      </c>
      <c r="F86">
        <v>6</v>
      </c>
      <c r="G86">
        <v>1800</v>
      </c>
      <c r="H86">
        <v>1400</v>
      </c>
      <c r="I86">
        <v>0</v>
      </c>
      <c r="J86" t="s">
        <v>334</v>
      </c>
      <c r="K86" t="s">
        <v>337</v>
      </c>
    </row>
    <row r="87" spans="1:11" x14ac:dyDescent="0.25">
      <c r="A87" t="s">
        <v>96</v>
      </c>
      <c r="B87" t="s">
        <v>216</v>
      </c>
      <c r="C87" t="s">
        <v>266</v>
      </c>
      <c r="D87" t="s">
        <v>319</v>
      </c>
      <c r="E87" t="s">
        <v>329</v>
      </c>
      <c r="F87">
        <v>6</v>
      </c>
      <c r="G87">
        <v>1200</v>
      </c>
      <c r="H87">
        <v>900</v>
      </c>
      <c r="I87">
        <v>0.1</v>
      </c>
      <c r="J87" t="s">
        <v>330</v>
      </c>
      <c r="K87" t="s">
        <v>336</v>
      </c>
    </row>
    <row r="88" spans="1:11" x14ac:dyDescent="0.25">
      <c r="A88" t="s">
        <v>97</v>
      </c>
      <c r="B88" t="s">
        <v>217</v>
      </c>
      <c r="C88" t="s">
        <v>307</v>
      </c>
      <c r="D88" t="s">
        <v>319</v>
      </c>
      <c r="E88" t="s">
        <v>328</v>
      </c>
      <c r="F88">
        <v>4</v>
      </c>
      <c r="G88">
        <v>5000</v>
      </c>
      <c r="H88">
        <v>4000</v>
      </c>
      <c r="I88">
        <v>0</v>
      </c>
      <c r="J88" t="s">
        <v>330</v>
      </c>
      <c r="K88" t="s">
        <v>339</v>
      </c>
    </row>
    <row r="89" spans="1:11" x14ac:dyDescent="0.25">
      <c r="A89" t="s">
        <v>98</v>
      </c>
      <c r="B89" t="s">
        <v>218</v>
      </c>
      <c r="C89" t="s">
        <v>308</v>
      </c>
      <c r="D89" t="s">
        <v>315</v>
      </c>
      <c r="E89" t="s">
        <v>324</v>
      </c>
      <c r="F89">
        <v>1</v>
      </c>
      <c r="G89">
        <v>9000</v>
      </c>
      <c r="H89">
        <v>7600</v>
      </c>
      <c r="I89">
        <v>0</v>
      </c>
      <c r="J89" t="s">
        <v>330</v>
      </c>
      <c r="K89" t="s">
        <v>339</v>
      </c>
    </row>
    <row r="90" spans="1:11" x14ac:dyDescent="0.25">
      <c r="A90" t="s">
        <v>99</v>
      </c>
      <c r="B90" t="s">
        <v>219</v>
      </c>
      <c r="C90" t="s">
        <v>266</v>
      </c>
      <c r="D90" t="s">
        <v>315</v>
      </c>
      <c r="E90" t="s">
        <v>326</v>
      </c>
      <c r="F90">
        <v>1</v>
      </c>
      <c r="G90">
        <v>1800</v>
      </c>
      <c r="H90">
        <v>1400</v>
      </c>
      <c r="I90">
        <v>0</v>
      </c>
      <c r="J90" t="s">
        <v>332</v>
      </c>
      <c r="K90" t="s">
        <v>339</v>
      </c>
    </row>
    <row r="91" spans="1:11" x14ac:dyDescent="0.25">
      <c r="A91" t="s">
        <v>100</v>
      </c>
      <c r="B91" t="s">
        <v>220</v>
      </c>
      <c r="C91" t="s">
        <v>309</v>
      </c>
      <c r="D91" t="s">
        <v>315</v>
      </c>
      <c r="E91" t="s">
        <v>328</v>
      </c>
      <c r="F91">
        <v>7</v>
      </c>
      <c r="G91">
        <v>5000</v>
      </c>
      <c r="H91">
        <v>4000</v>
      </c>
      <c r="I91">
        <v>0</v>
      </c>
      <c r="J91" t="s">
        <v>344</v>
      </c>
      <c r="K91" t="s">
        <v>336</v>
      </c>
    </row>
    <row r="92" spans="1:11" x14ac:dyDescent="0.25">
      <c r="A92" t="s">
        <v>101</v>
      </c>
      <c r="B92" t="s">
        <v>221</v>
      </c>
      <c r="C92" t="s">
        <v>286</v>
      </c>
      <c r="D92" t="s">
        <v>315</v>
      </c>
      <c r="E92" t="s">
        <v>324</v>
      </c>
      <c r="F92">
        <v>1</v>
      </c>
      <c r="G92">
        <v>9000</v>
      </c>
      <c r="H92">
        <v>7600</v>
      </c>
      <c r="I92">
        <v>0</v>
      </c>
      <c r="J92" t="s">
        <v>334</v>
      </c>
      <c r="K92" t="s">
        <v>336</v>
      </c>
    </row>
    <row r="93" spans="1:11" x14ac:dyDescent="0.25">
      <c r="A93" t="s">
        <v>102</v>
      </c>
      <c r="B93" t="s">
        <v>222</v>
      </c>
      <c r="C93" t="s">
        <v>305</v>
      </c>
      <c r="D93" t="s">
        <v>318</v>
      </c>
      <c r="E93" t="s">
        <v>324</v>
      </c>
      <c r="F93">
        <v>7</v>
      </c>
      <c r="G93">
        <v>9000</v>
      </c>
      <c r="H93">
        <v>7600</v>
      </c>
      <c r="I93">
        <v>0.05</v>
      </c>
      <c r="J93" t="s">
        <v>344</v>
      </c>
      <c r="K93" t="s">
        <v>336</v>
      </c>
    </row>
    <row r="94" spans="1:11" x14ac:dyDescent="0.25">
      <c r="A94" t="s">
        <v>103</v>
      </c>
      <c r="B94" t="s">
        <v>223</v>
      </c>
      <c r="C94" t="s">
        <v>309</v>
      </c>
      <c r="D94" t="s">
        <v>319</v>
      </c>
      <c r="E94" t="s">
        <v>327</v>
      </c>
      <c r="F94">
        <v>5</v>
      </c>
      <c r="G94">
        <v>7500</v>
      </c>
      <c r="H94">
        <v>6300</v>
      </c>
      <c r="I94">
        <v>0</v>
      </c>
      <c r="J94" t="s">
        <v>330</v>
      </c>
      <c r="K94" t="s">
        <v>336</v>
      </c>
    </row>
    <row r="95" spans="1:11" x14ac:dyDescent="0.25">
      <c r="A95" t="s">
        <v>104</v>
      </c>
      <c r="B95" t="s">
        <v>224</v>
      </c>
      <c r="C95" t="s">
        <v>284</v>
      </c>
      <c r="D95" t="s">
        <v>315</v>
      </c>
      <c r="E95" t="s">
        <v>325</v>
      </c>
      <c r="F95">
        <v>2</v>
      </c>
      <c r="G95">
        <v>8500</v>
      </c>
      <c r="H95">
        <v>7000</v>
      </c>
      <c r="I95">
        <v>0.05</v>
      </c>
      <c r="J95" t="s">
        <v>334</v>
      </c>
      <c r="K95" t="s">
        <v>336</v>
      </c>
    </row>
    <row r="96" spans="1:11" x14ac:dyDescent="0.25">
      <c r="A96" t="s">
        <v>105</v>
      </c>
      <c r="B96" t="s">
        <v>225</v>
      </c>
      <c r="C96" t="s">
        <v>305</v>
      </c>
      <c r="D96" t="s">
        <v>318</v>
      </c>
      <c r="E96" t="s">
        <v>326</v>
      </c>
      <c r="F96">
        <v>6</v>
      </c>
      <c r="G96">
        <v>1800</v>
      </c>
      <c r="H96">
        <v>1400</v>
      </c>
      <c r="I96">
        <v>0</v>
      </c>
      <c r="J96" t="s">
        <v>334</v>
      </c>
      <c r="K96" t="s">
        <v>337</v>
      </c>
    </row>
    <row r="97" spans="1:11" x14ac:dyDescent="0.25">
      <c r="A97" t="s">
        <v>106</v>
      </c>
      <c r="B97" t="s">
        <v>226</v>
      </c>
      <c r="C97" t="s">
        <v>278</v>
      </c>
      <c r="D97" t="s">
        <v>315</v>
      </c>
      <c r="E97" t="s">
        <v>326</v>
      </c>
      <c r="F97">
        <v>6</v>
      </c>
      <c r="G97">
        <v>1800</v>
      </c>
      <c r="H97">
        <v>1400</v>
      </c>
      <c r="I97">
        <v>0.1</v>
      </c>
      <c r="J97" t="s">
        <v>330</v>
      </c>
      <c r="K97" t="s">
        <v>336</v>
      </c>
    </row>
    <row r="98" spans="1:11" x14ac:dyDescent="0.25">
      <c r="A98" t="s">
        <v>107</v>
      </c>
      <c r="B98" t="s">
        <v>227</v>
      </c>
      <c r="C98" t="s">
        <v>301</v>
      </c>
      <c r="D98" t="s">
        <v>321</v>
      </c>
      <c r="E98" t="s">
        <v>324</v>
      </c>
      <c r="F98">
        <v>1</v>
      </c>
      <c r="G98">
        <v>9000</v>
      </c>
      <c r="H98">
        <v>7600</v>
      </c>
      <c r="I98">
        <v>0</v>
      </c>
      <c r="J98" t="s">
        <v>334</v>
      </c>
      <c r="K98" t="s">
        <v>336</v>
      </c>
    </row>
    <row r="99" spans="1:11" x14ac:dyDescent="0.25">
      <c r="A99" t="s">
        <v>108</v>
      </c>
      <c r="B99" t="s">
        <v>228</v>
      </c>
      <c r="C99" t="s">
        <v>310</v>
      </c>
      <c r="D99" t="s">
        <v>319</v>
      </c>
      <c r="E99" t="s">
        <v>329</v>
      </c>
      <c r="F99">
        <v>1</v>
      </c>
      <c r="G99">
        <v>1200</v>
      </c>
      <c r="H99">
        <v>900</v>
      </c>
      <c r="I99">
        <v>0</v>
      </c>
      <c r="J99" t="s">
        <v>344</v>
      </c>
      <c r="K99" t="s">
        <v>339</v>
      </c>
    </row>
    <row r="100" spans="1:11" x14ac:dyDescent="0.25">
      <c r="A100" t="s">
        <v>109</v>
      </c>
      <c r="B100" t="s">
        <v>229</v>
      </c>
      <c r="C100" t="s">
        <v>306</v>
      </c>
      <c r="D100" t="s">
        <v>319</v>
      </c>
      <c r="E100" t="s">
        <v>322</v>
      </c>
      <c r="F100">
        <v>5</v>
      </c>
      <c r="G100">
        <v>8500</v>
      </c>
      <c r="H100">
        <v>7000</v>
      </c>
      <c r="I100">
        <v>0</v>
      </c>
      <c r="J100" t="s">
        <v>334</v>
      </c>
      <c r="K100" t="s">
        <v>337</v>
      </c>
    </row>
    <row r="101" spans="1:11" x14ac:dyDescent="0.25">
      <c r="A101" t="s">
        <v>110</v>
      </c>
      <c r="B101" t="s">
        <v>230</v>
      </c>
      <c r="C101" t="s">
        <v>282</v>
      </c>
      <c r="D101" t="s">
        <v>321</v>
      </c>
      <c r="E101" t="s">
        <v>325</v>
      </c>
      <c r="F101">
        <v>7</v>
      </c>
      <c r="G101">
        <v>8500</v>
      </c>
      <c r="H101">
        <v>7000</v>
      </c>
      <c r="I101">
        <v>0</v>
      </c>
      <c r="J101" t="s">
        <v>334</v>
      </c>
      <c r="K101" t="s">
        <v>337</v>
      </c>
    </row>
    <row r="102" spans="1:11" x14ac:dyDescent="0.25">
      <c r="A102" t="s">
        <v>111</v>
      </c>
      <c r="B102" t="s">
        <v>231</v>
      </c>
      <c r="C102" t="s">
        <v>276</v>
      </c>
      <c r="D102" t="s">
        <v>315</v>
      </c>
      <c r="E102" t="s">
        <v>329</v>
      </c>
      <c r="F102">
        <v>1</v>
      </c>
      <c r="G102">
        <v>1200</v>
      </c>
      <c r="H102">
        <v>900</v>
      </c>
      <c r="I102">
        <v>0.05</v>
      </c>
      <c r="J102" t="s">
        <v>334</v>
      </c>
      <c r="K102" t="s">
        <v>339</v>
      </c>
    </row>
    <row r="103" spans="1:11" x14ac:dyDescent="0.25">
      <c r="A103" t="s">
        <v>112</v>
      </c>
      <c r="B103" t="s">
        <v>232</v>
      </c>
      <c r="C103" t="s">
        <v>304</v>
      </c>
      <c r="D103" t="s">
        <v>319</v>
      </c>
      <c r="E103" t="s">
        <v>324</v>
      </c>
      <c r="F103">
        <v>5</v>
      </c>
      <c r="G103">
        <v>9000</v>
      </c>
      <c r="H103">
        <v>7600</v>
      </c>
      <c r="I103">
        <v>0</v>
      </c>
      <c r="J103" t="s">
        <v>334</v>
      </c>
      <c r="K103" t="s">
        <v>336</v>
      </c>
    </row>
    <row r="104" spans="1:11" x14ac:dyDescent="0.25">
      <c r="A104" t="s">
        <v>113</v>
      </c>
      <c r="B104" t="s">
        <v>233</v>
      </c>
      <c r="C104" t="s">
        <v>305</v>
      </c>
      <c r="D104" t="s">
        <v>315</v>
      </c>
      <c r="E104" t="s">
        <v>329</v>
      </c>
      <c r="F104">
        <v>1</v>
      </c>
      <c r="G104">
        <v>1200</v>
      </c>
      <c r="H104">
        <v>900</v>
      </c>
      <c r="I104">
        <v>0.1</v>
      </c>
      <c r="J104" t="s">
        <v>334</v>
      </c>
      <c r="K104" t="s">
        <v>337</v>
      </c>
    </row>
    <row r="105" spans="1:11" x14ac:dyDescent="0.25">
      <c r="A105" t="s">
        <v>114</v>
      </c>
      <c r="B105" t="s">
        <v>234</v>
      </c>
      <c r="C105" t="s">
        <v>297</v>
      </c>
      <c r="D105" t="s">
        <v>315</v>
      </c>
      <c r="E105" t="s">
        <v>327</v>
      </c>
      <c r="F105">
        <v>5</v>
      </c>
      <c r="G105">
        <v>7500</v>
      </c>
      <c r="H105">
        <v>6300</v>
      </c>
      <c r="I105">
        <v>0</v>
      </c>
      <c r="J105" t="s">
        <v>334</v>
      </c>
      <c r="K105" t="s">
        <v>337</v>
      </c>
    </row>
    <row r="106" spans="1:11" x14ac:dyDescent="0.25">
      <c r="A106" t="s">
        <v>115</v>
      </c>
      <c r="B106" t="s">
        <v>235</v>
      </c>
      <c r="C106" t="s">
        <v>252</v>
      </c>
      <c r="D106" t="s">
        <v>321</v>
      </c>
      <c r="E106" t="s">
        <v>325</v>
      </c>
      <c r="F106">
        <v>5</v>
      </c>
      <c r="G106">
        <v>8500</v>
      </c>
      <c r="H106">
        <v>7000</v>
      </c>
      <c r="I106">
        <v>0</v>
      </c>
      <c r="J106" t="s">
        <v>344</v>
      </c>
      <c r="K106" t="s">
        <v>337</v>
      </c>
    </row>
    <row r="107" spans="1:11" x14ac:dyDescent="0.25">
      <c r="A107" t="s">
        <v>116</v>
      </c>
      <c r="B107" t="s">
        <v>236</v>
      </c>
      <c r="C107" t="s">
        <v>266</v>
      </c>
      <c r="D107" t="s">
        <v>319</v>
      </c>
      <c r="E107" t="s">
        <v>324</v>
      </c>
      <c r="F107">
        <v>1</v>
      </c>
      <c r="G107">
        <v>9000</v>
      </c>
      <c r="H107">
        <v>7600</v>
      </c>
      <c r="I107">
        <v>0</v>
      </c>
      <c r="J107" t="s">
        <v>334</v>
      </c>
      <c r="K107" t="s">
        <v>339</v>
      </c>
    </row>
    <row r="108" spans="1:11" x14ac:dyDescent="0.25">
      <c r="A108" t="s">
        <v>117</v>
      </c>
      <c r="B108" t="s">
        <v>237</v>
      </c>
      <c r="C108" t="s">
        <v>265</v>
      </c>
      <c r="D108" t="s">
        <v>321</v>
      </c>
      <c r="E108" t="s">
        <v>324</v>
      </c>
      <c r="F108">
        <v>5</v>
      </c>
      <c r="G108">
        <v>9000</v>
      </c>
      <c r="H108">
        <v>7600</v>
      </c>
      <c r="I108">
        <v>0.1</v>
      </c>
      <c r="J108" t="s">
        <v>332</v>
      </c>
      <c r="K108" t="s">
        <v>337</v>
      </c>
    </row>
    <row r="109" spans="1:11" x14ac:dyDescent="0.25">
      <c r="A109" t="s">
        <v>118</v>
      </c>
      <c r="B109" t="s">
        <v>238</v>
      </c>
      <c r="C109" t="s">
        <v>292</v>
      </c>
      <c r="D109" t="s">
        <v>321</v>
      </c>
      <c r="E109" t="s">
        <v>326</v>
      </c>
      <c r="F109">
        <v>7</v>
      </c>
      <c r="G109">
        <v>1800</v>
      </c>
      <c r="H109">
        <v>1400</v>
      </c>
      <c r="I109">
        <v>0</v>
      </c>
      <c r="J109" t="s">
        <v>334</v>
      </c>
      <c r="K109" t="s">
        <v>339</v>
      </c>
    </row>
    <row r="110" spans="1:11" x14ac:dyDescent="0.25">
      <c r="A110" t="s">
        <v>119</v>
      </c>
      <c r="B110" t="s">
        <v>239</v>
      </c>
      <c r="C110" t="s">
        <v>311</v>
      </c>
      <c r="D110" t="s">
        <v>319</v>
      </c>
      <c r="E110" t="s">
        <v>324</v>
      </c>
      <c r="F110">
        <v>7</v>
      </c>
      <c r="G110">
        <v>9000</v>
      </c>
      <c r="H110">
        <v>7600</v>
      </c>
      <c r="I110">
        <v>0.1</v>
      </c>
      <c r="J110" t="s">
        <v>334</v>
      </c>
      <c r="K110" t="s">
        <v>339</v>
      </c>
    </row>
    <row r="111" spans="1:11" x14ac:dyDescent="0.25">
      <c r="A111" t="s">
        <v>120</v>
      </c>
      <c r="B111" t="s">
        <v>240</v>
      </c>
      <c r="C111" t="s">
        <v>294</v>
      </c>
      <c r="D111" t="s">
        <v>315</v>
      </c>
      <c r="E111" t="s">
        <v>324</v>
      </c>
      <c r="F111">
        <v>1</v>
      </c>
      <c r="G111">
        <v>9000</v>
      </c>
      <c r="H111">
        <v>7600</v>
      </c>
      <c r="I111">
        <v>0</v>
      </c>
      <c r="J111" t="s">
        <v>334</v>
      </c>
      <c r="K111" t="s">
        <v>339</v>
      </c>
    </row>
    <row r="112" spans="1:11" x14ac:dyDescent="0.25">
      <c r="A112" t="s">
        <v>121</v>
      </c>
      <c r="B112" t="s">
        <v>241</v>
      </c>
      <c r="C112" t="s">
        <v>312</v>
      </c>
      <c r="D112" t="s">
        <v>315</v>
      </c>
      <c r="E112" t="s">
        <v>329</v>
      </c>
      <c r="F112">
        <v>2</v>
      </c>
      <c r="G112">
        <v>1200</v>
      </c>
      <c r="H112">
        <v>900</v>
      </c>
      <c r="I112">
        <v>0</v>
      </c>
      <c r="J112" t="s">
        <v>334</v>
      </c>
      <c r="K112" t="s">
        <v>336</v>
      </c>
    </row>
    <row r="113" spans="1:11" x14ac:dyDescent="0.25">
      <c r="A113" t="s">
        <v>122</v>
      </c>
      <c r="B113" t="s">
        <v>242</v>
      </c>
      <c r="C113" t="s">
        <v>265</v>
      </c>
      <c r="D113" t="s">
        <v>315</v>
      </c>
      <c r="E113" t="s">
        <v>322</v>
      </c>
      <c r="F113">
        <v>2</v>
      </c>
      <c r="G113">
        <v>8500</v>
      </c>
      <c r="H113">
        <v>7000</v>
      </c>
      <c r="I113">
        <v>0</v>
      </c>
      <c r="J113" t="s">
        <v>334</v>
      </c>
      <c r="K113" t="s">
        <v>339</v>
      </c>
    </row>
    <row r="114" spans="1:11" x14ac:dyDescent="0.25">
      <c r="A114" t="s">
        <v>123</v>
      </c>
      <c r="B114" t="s">
        <v>243</v>
      </c>
      <c r="C114" t="s">
        <v>313</v>
      </c>
      <c r="D114" t="s">
        <v>319</v>
      </c>
      <c r="E114" t="s">
        <v>327</v>
      </c>
      <c r="F114">
        <v>4</v>
      </c>
      <c r="G114">
        <v>7500</v>
      </c>
      <c r="H114">
        <v>6300</v>
      </c>
      <c r="I114">
        <v>0.05</v>
      </c>
      <c r="J114" t="s">
        <v>330</v>
      </c>
      <c r="K114" t="s">
        <v>336</v>
      </c>
    </row>
    <row r="115" spans="1:11" x14ac:dyDescent="0.25">
      <c r="A115" t="s">
        <v>124</v>
      </c>
      <c r="B115" t="s">
        <v>244</v>
      </c>
      <c r="C115" t="s">
        <v>255</v>
      </c>
      <c r="D115" t="s">
        <v>318</v>
      </c>
      <c r="E115" t="s">
        <v>327</v>
      </c>
      <c r="F115">
        <v>2</v>
      </c>
      <c r="G115">
        <v>7500</v>
      </c>
      <c r="H115">
        <v>6300</v>
      </c>
      <c r="I115">
        <v>0</v>
      </c>
      <c r="J115" t="s">
        <v>334</v>
      </c>
      <c r="K115" t="s">
        <v>336</v>
      </c>
    </row>
    <row r="116" spans="1:11" x14ac:dyDescent="0.25">
      <c r="A116" t="s">
        <v>125</v>
      </c>
      <c r="B116" t="s">
        <v>245</v>
      </c>
      <c r="C116" t="s">
        <v>314</v>
      </c>
      <c r="D116" t="s">
        <v>321</v>
      </c>
      <c r="E116" t="s">
        <v>329</v>
      </c>
      <c r="F116">
        <v>6</v>
      </c>
      <c r="G116">
        <v>1200</v>
      </c>
      <c r="H116">
        <v>900</v>
      </c>
      <c r="I116">
        <v>0.05</v>
      </c>
      <c r="J116" t="s">
        <v>330</v>
      </c>
      <c r="K116" t="s">
        <v>336</v>
      </c>
    </row>
    <row r="117" spans="1:11" x14ac:dyDescent="0.25">
      <c r="A117" t="s">
        <v>126</v>
      </c>
      <c r="B117" t="s">
        <v>246</v>
      </c>
      <c r="C117" t="s">
        <v>290</v>
      </c>
      <c r="D117" t="s">
        <v>321</v>
      </c>
      <c r="E117" t="s">
        <v>322</v>
      </c>
      <c r="F117">
        <v>6</v>
      </c>
      <c r="G117">
        <v>8500</v>
      </c>
      <c r="H117">
        <v>7000</v>
      </c>
      <c r="I117">
        <v>0.05</v>
      </c>
      <c r="J117" t="s">
        <v>334</v>
      </c>
      <c r="K117" t="s">
        <v>336</v>
      </c>
    </row>
    <row r="118" spans="1:11" x14ac:dyDescent="0.25">
      <c r="A118" t="s">
        <v>127</v>
      </c>
      <c r="B118" t="s">
        <v>247</v>
      </c>
      <c r="C118" t="s">
        <v>260</v>
      </c>
      <c r="D118" t="s">
        <v>315</v>
      </c>
      <c r="E118" t="s">
        <v>322</v>
      </c>
      <c r="F118">
        <v>6</v>
      </c>
      <c r="G118">
        <v>8500</v>
      </c>
      <c r="H118">
        <v>7000</v>
      </c>
      <c r="I118">
        <v>0</v>
      </c>
      <c r="J118" t="s">
        <v>344</v>
      </c>
      <c r="K118" t="s">
        <v>339</v>
      </c>
    </row>
    <row r="119" spans="1:11" x14ac:dyDescent="0.25">
      <c r="A119" t="s">
        <v>128</v>
      </c>
      <c r="B119" t="s">
        <v>248</v>
      </c>
      <c r="C119" t="s">
        <v>304</v>
      </c>
      <c r="D119" t="s">
        <v>321</v>
      </c>
      <c r="E119" t="s">
        <v>325</v>
      </c>
      <c r="F119">
        <v>2</v>
      </c>
      <c r="G119">
        <v>8500</v>
      </c>
      <c r="H119">
        <v>7000</v>
      </c>
      <c r="I119">
        <v>0.05</v>
      </c>
      <c r="J119" t="s">
        <v>332</v>
      </c>
      <c r="K119" t="s">
        <v>339</v>
      </c>
    </row>
    <row r="120" spans="1:11" x14ac:dyDescent="0.25">
      <c r="A120" t="s">
        <v>129</v>
      </c>
      <c r="B120" t="s">
        <v>249</v>
      </c>
      <c r="C120" t="s">
        <v>278</v>
      </c>
      <c r="D120" t="s">
        <v>315</v>
      </c>
      <c r="E120" t="s">
        <v>329</v>
      </c>
      <c r="F120">
        <v>1</v>
      </c>
      <c r="G120">
        <v>1200</v>
      </c>
      <c r="H120">
        <v>900</v>
      </c>
      <c r="I120">
        <v>0.1</v>
      </c>
      <c r="J120" t="s">
        <v>332</v>
      </c>
      <c r="K120" t="s">
        <v>336</v>
      </c>
    </row>
    <row r="121" spans="1:11" x14ac:dyDescent="0.25">
      <c r="A121" t="s">
        <v>130</v>
      </c>
      <c r="B121" t="s">
        <v>250</v>
      </c>
      <c r="C121" t="s">
        <v>298</v>
      </c>
      <c r="D121" t="s">
        <v>315</v>
      </c>
      <c r="E121" t="s">
        <v>325</v>
      </c>
      <c r="F121">
        <v>7</v>
      </c>
      <c r="G121">
        <v>8500</v>
      </c>
      <c r="H121">
        <v>7000</v>
      </c>
      <c r="I121">
        <v>0</v>
      </c>
      <c r="J121" t="s">
        <v>332</v>
      </c>
      <c r="K121" t="s">
        <v>339</v>
      </c>
    </row>
  </sheetData>
  <conditionalFormatting sqref="A1:A121 A123:A1048576">
    <cfRule type="duplicateValues" dxfId="0"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2"/>
  <sheetViews>
    <sheetView tabSelected="1" zoomScale="90" zoomScaleNormal="90" workbookViewId="0">
      <selection activeCell="O5" sqref="O5"/>
    </sheetView>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131</v>
      </c>
      <c r="C2" t="s">
        <v>251</v>
      </c>
      <c r="D2" t="s">
        <v>315</v>
      </c>
      <c r="E2" t="s">
        <v>322</v>
      </c>
      <c r="F2">
        <v>1</v>
      </c>
      <c r="G2">
        <v>8500</v>
      </c>
      <c r="H2">
        <v>7000</v>
      </c>
      <c r="I2">
        <v>0</v>
      </c>
      <c r="J2" t="s">
        <v>330</v>
      </c>
      <c r="K2" t="s">
        <v>336</v>
      </c>
    </row>
    <row r="3" spans="1:11" x14ac:dyDescent="0.25">
      <c r="A3" t="s">
        <v>12</v>
      </c>
      <c r="B3" t="s">
        <v>132</v>
      </c>
      <c r="C3" t="s">
        <v>252</v>
      </c>
      <c r="D3" t="s">
        <v>316</v>
      </c>
      <c r="E3" t="s">
        <v>323</v>
      </c>
      <c r="F3">
        <v>7</v>
      </c>
      <c r="G3">
        <v>9000</v>
      </c>
      <c r="H3">
        <v>7600</v>
      </c>
      <c r="I3">
        <v>0.05</v>
      </c>
      <c r="J3" t="s">
        <v>331</v>
      </c>
      <c r="K3" t="s">
        <v>336</v>
      </c>
    </row>
    <row r="4" spans="1:11" x14ac:dyDescent="0.25">
      <c r="A4" t="s">
        <v>13</v>
      </c>
      <c r="B4" t="s">
        <v>133</v>
      </c>
      <c r="C4" t="s">
        <v>253</v>
      </c>
      <c r="D4" t="s">
        <v>315</v>
      </c>
      <c r="E4" t="s">
        <v>324</v>
      </c>
      <c r="F4">
        <v>6</v>
      </c>
      <c r="G4">
        <v>9000</v>
      </c>
      <c r="H4">
        <v>7600</v>
      </c>
      <c r="I4">
        <v>0.1</v>
      </c>
      <c r="J4" t="s">
        <v>330</v>
      </c>
      <c r="K4" t="s">
        <v>336</v>
      </c>
    </row>
    <row r="5" spans="1:11" x14ac:dyDescent="0.25">
      <c r="A5" t="s">
        <v>14</v>
      </c>
      <c r="B5" t="s">
        <v>134</v>
      </c>
      <c r="C5" t="s">
        <v>254</v>
      </c>
      <c r="D5" t="s">
        <v>316</v>
      </c>
      <c r="E5" t="s">
        <v>323</v>
      </c>
      <c r="F5">
        <v>1</v>
      </c>
      <c r="G5">
        <v>9000</v>
      </c>
      <c r="H5">
        <v>7600</v>
      </c>
      <c r="I5">
        <v>0</v>
      </c>
      <c r="J5" t="s">
        <v>332</v>
      </c>
      <c r="K5" t="s">
        <v>337</v>
      </c>
    </row>
    <row r="6" spans="1:11" x14ac:dyDescent="0.25">
      <c r="A6" t="s">
        <v>15</v>
      </c>
      <c r="B6" t="s">
        <v>135</v>
      </c>
      <c r="C6" t="s">
        <v>255</v>
      </c>
      <c r="D6" t="s">
        <v>316</v>
      </c>
      <c r="E6" t="s">
        <v>325</v>
      </c>
      <c r="F6">
        <v>6</v>
      </c>
      <c r="G6">
        <v>8500</v>
      </c>
      <c r="H6">
        <v>7000</v>
      </c>
      <c r="I6">
        <v>0</v>
      </c>
      <c r="J6" t="s">
        <v>333</v>
      </c>
      <c r="K6" t="s">
        <v>338</v>
      </c>
    </row>
    <row r="7" spans="1:11" x14ac:dyDescent="0.25">
      <c r="A7" t="s">
        <v>16</v>
      </c>
      <c r="B7" t="s">
        <v>136</v>
      </c>
      <c r="C7" t="s">
        <v>256</v>
      </c>
      <c r="D7" t="s">
        <v>315</v>
      </c>
      <c r="E7" t="s">
        <v>326</v>
      </c>
      <c r="F7">
        <v>1</v>
      </c>
      <c r="G7">
        <v>1800</v>
      </c>
      <c r="H7">
        <v>1400</v>
      </c>
      <c r="I7">
        <v>0</v>
      </c>
      <c r="J7" t="s">
        <v>330</v>
      </c>
      <c r="K7" t="s">
        <v>339</v>
      </c>
    </row>
    <row r="8" spans="1:11" x14ac:dyDescent="0.25">
      <c r="A8" t="s">
        <v>17</v>
      </c>
      <c r="B8" t="s">
        <v>137</v>
      </c>
      <c r="C8" t="s">
        <v>257</v>
      </c>
      <c r="D8" t="s">
        <v>317</v>
      </c>
      <c r="E8" t="s">
        <v>327</v>
      </c>
      <c r="F8">
        <v>6</v>
      </c>
      <c r="G8">
        <v>7500</v>
      </c>
      <c r="H8">
        <v>6300</v>
      </c>
      <c r="I8">
        <v>0</v>
      </c>
      <c r="J8" t="s">
        <v>330</v>
      </c>
      <c r="K8" t="s">
        <v>340</v>
      </c>
    </row>
    <row r="9" spans="1:11" x14ac:dyDescent="0.25">
      <c r="A9" t="s">
        <v>18</v>
      </c>
      <c r="B9" t="s">
        <v>138</v>
      </c>
      <c r="C9" t="s">
        <v>258</v>
      </c>
      <c r="D9" t="s">
        <v>318</v>
      </c>
      <c r="E9" t="s">
        <v>328</v>
      </c>
      <c r="F9">
        <v>1</v>
      </c>
      <c r="G9">
        <v>5000</v>
      </c>
      <c r="H9">
        <v>4000</v>
      </c>
      <c r="I9">
        <v>0</v>
      </c>
      <c r="J9" t="s">
        <v>333</v>
      </c>
      <c r="K9" t="s">
        <v>339</v>
      </c>
    </row>
    <row r="10" spans="1:11" x14ac:dyDescent="0.25">
      <c r="A10" t="s">
        <v>19</v>
      </c>
      <c r="B10" t="s">
        <v>139</v>
      </c>
      <c r="C10" t="s">
        <v>259</v>
      </c>
      <c r="D10" t="s">
        <v>317</v>
      </c>
      <c r="E10" t="s">
        <v>325</v>
      </c>
      <c r="F10">
        <v>4</v>
      </c>
      <c r="G10">
        <v>8500</v>
      </c>
      <c r="H10">
        <v>7000</v>
      </c>
      <c r="I10">
        <v>0.1</v>
      </c>
      <c r="J10" t="s">
        <v>332</v>
      </c>
      <c r="K10" t="s">
        <v>338</v>
      </c>
    </row>
    <row r="11" spans="1:11" x14ac:dyDescent="0.25">
      <c r="A11" t="s">
        <v>20</v>
      </c>
      <c r="B11" t="s">
        <v>140</v>
      </c>
      <c r="C11" t="s">
        <v>260</v>
      </c>
      <c r="D11" t="s">
        <v>315</v>
      </c>
      <c r="E11" t="s">
        <v>322</v>
      </c>
      <c r="F11">
        <v>5</v>
      </c>
      <c r="G11">
        <v>8500</v>
      </c>
      <c r="H11">
        <v>7000</v>
      </c>
      <c r="I11">
        <v>0.05</v>
      </c>
      <c r="J11" t="s">
        <v>332</v>
      </c>
      <c r="K11" t="s">
        <v>338</v>
      </c>
    </row>
    <row r="12" spans="1:11" x14ac:dyDescent="0.25">
      <c r="A12" t="s">
        <v>21</v>
      </c>
      <c r="B12" t="s">
        <v>141</v>
      </c>
      <c r="C12" t="s">
        <v>261</v>
      </c>
      <c r="D12" t="s">
        <v>319</v>
      </c>
      <c r="E12" t="s">
        <v>328</v>
      </c>
      <c r="F12">
        <v>6</v>
      </c>
      <c r="G12">
        <v>5000</v>
      </c>
      <c r="H12">
        <v>4000</v>
      </c>
      <c r="I12">
        <v>0.1</v>
      </c>
      <c r="J12" t="s">
        <v>331</v>
      </c>
      <c r="K12" t="s">
        <v>338</v>
      </c>
    </row>
    <row r="13" spans="1:11" x14ac:dyDescent="0.25">
      <c r="A13" t="s">
        <v>22</v>
      </c>
      <c r="B13" t="s">
        <v>142</v>
      </c>
      <c r="C13" t="s">
        <v>262</v>
      </c>
      <c r="D13" t="s">
        <v>318</v>
      </c>
      <c r="E13" t="s">
        <v>329</v>
      </c>
      <c r="F13">
        <v>3</v>
      </c>
      <c r="G13">
        <v>1200</v>
      </c>
      <c r="H13">
        <v>900</v>
      </c>
      <c r="I13">
        <v>0.1</v>
      </c>
      <c r="J13" t="s">
        <v>331</v>
      </c>
      <c r="K13" t="s">
        <v>339</v>
      </c>
    </row>
    <row r="14" spans="1:11" x14ac:dyDescent="0.25">
      <c r="A14" t="s">
        <v>23</v>
      </c>
      <c r="B14" t="s">
        <v>143</v>
      </c>
      <c r="C14" t="s">
        <v>263</v>
      </c>
      <c r="D14" t="s">
        <v>319</v>
      </c>
      <c r="E14" t="s">
        <v>327</v>
      </c>
      <c r="F14">
        <v>7</v>
      </c>
      <c r="G14">
        <v>7500</v>
      </c>
      <c r="H14">
        <v>6300</v>
      </c>
      <c r="I14">
        <v>0.1</v>
      </c>
      <c r="J14" t="s">
        <v>332</v>
      </c>
      <c r="K14" t="s">
        <v>336</v>
      </c>
    </row>
    <row r="15" spans="1:11" x14ac:dyDescent="0.25">
      <c r="A15" t="s">
        <v>24</v>
      </c>
      <c r="B15" t="s">
        <v>144</v>
      </c>
      <c r="C15" t="s">
        <v>264</v>
      </c>
      <c r="D15" t="s">
        <v>319</v>
      </c>
      <c r="E15" t="s">
        <v>328</v>
      </c>
      <c r="F15">
        <v>6</v>
      </c>
      <c r="G15">
        <v>5000</v>
      </c>
      <c r="H15">
        <v>4000</v>
      </c>
      <c r="I15">
        <v>0</v>
      </c>
      <c r="J15" t="s">
        <v>332</v>
      </c>
      <c r="K15" t="s">
        <v>340</v>
      </c>
    </row>
    <row r="16" spans="1:11" x14ac:dyDescent="0.25">
      <c r="A16" t="s">
        <v>25</v>
      </c>
      <c r="B16" t="s">
        <v>145</v>
      </c>
      <c r="C16" t="s">
        <v>265</v>
      </c>
      <c r="D16" t="s">
        <v>316</v>
      </c>
      <c r="E16" t="s">
        <v>323</v>
      </c>
      <c r="F16">
        <v>2</v>
      </c>
      <c r="G16">
        <v>9000</v>
      </c>
      <c r="H16">
        <v>7600</v>
      </c>
      <c r="I16">
        <v>0</v>
      </c>
      <c r="J16" t="s">
        <v>330</v>
      </c>
      <c r="K16" t="s">
        <v>336</v>
      </c>
    </row>
    <row r="17" spans="1:11" x14ac:dyDescent="0.25">
      <c r="A17" t="s">
        <v>26</v>
      </c>
      <c r="B17" t="s">
        <v>146</v>
      </c>
      <c r="C17" t="s">
        <v>266</v>
      </c>
      <c r="D17" t="s">
        <v>315</v>
      </c>
      <c r="E17" t="s">
        <v>325</v>
      </c>
      <c r="F17">
        <v>5</v>
      </c>
      <c r="G17">
        <v>8500</v>
      </c>
      <c r="H17">
        <v>7000</v>
      </c>
      <c r="I17">
        <v>0.1</v>
      </c>
      <c r="J17" t="s">
        <v>333</v>
      </c>
      <c r="K17" t="s">
        <v>336</v>
      </c>
    </row>
    <row r="18" spans="1:11" x14ac:dyDescent="0.25">
      <c r="A18" t="s">
        <v>27</v>
      </c>
      <c r="B18" t="s">
        <v>147</v>
      </c>
      <c r="C18" t="s">
        <v>261</v>
      </c>
      <c r="D18" t="s">
        <v>317</v>
      </c>
      <c r="E18" t="s">
        <v>329</v>
      </c>
      <c r="F18">
        <v>6</v>
      </c>
      <c r="G18">
        <v>1200</v>
      </c>
      <c r="H18">
        <v>900</v>
      </c>
      <c r="I18">
        <v>0</v>
      </c>
      <c r="J18" t="s">
        <v>334</v>
      </c>
      <c r="K18" t="s">
        <v>340</v>
      </c>
    </row>
    <row r="19" spans="1:11" x14ac:dyDescent="0.25">
      <c r="A19" t="s">
        <v>28</v>
      </c>
      <c r="B19" t="s">
        <v>148</v>
      </c>
      <c r="C19" t="s">
        <v>267</v>
      </c>
      <c r="D19" t="s">
        <v>315</v>
      </c>
      <c r="E19" t="s">
        <v>329</v>
      </c>
      <c r="F19">
        <v>3</v>
      </c>
      <c r="G19">
        <v>1200</v>
      </c>
      <c r="H19">
        <v>900</v>
      </c>
      <c r="I19">
        <v>0</v>
      </c>
      <c r="J19" t="s">
        <v>330</v>
      </c>
      <c r="K19" t="s">
        <v>340</v>
      </c>
    </row>
    <row r="20" spans="1:11" x14ac:dyDescent="0.25">
      <c r="A20" t="s">
        <v>29</v>
      </c>
      <c r="B20" t="s">
        <v>149</v>
      </c>
      <c r="C20" t="s">
        <v>268</v>
      </c>
      <c r="D20" t="s">
        <v>320</v>
      </c>
      <c r="E20" t="s">
        <v>327</v>
      </c>
      <c r="F20">
        <v>6</v>
      </c>
      <c r="G20">
        <v>7500</v>
      </c>
      <c r="H20">
        <v>6300</v>
      </c>
      <c r="I20">
        <v>0.05</v>
      </c>
      <c r="J20" t="s">
        <v>331</v>
      </c>
      <c r="K20" t="s">
        <v>337</v>
      </c>
    </row>
    <row r="21" spans="1:11" x14ac:dyDescent="0.25">
      <c r="A21" t="s">
        <v>30</v>
      </c>
      <c r="B21" t="s">
        <v>150</v>
      </c>
      <c r="C21" t="s">
        <v>254</v>
      </c>
      <c r="D21" t="s">
        <v>316</v>
      </c>
      <c r="E21" t="s">
        <v>328</v>
      </c>
      <c r="F21">
        <v>7</v>
      </c>
      <c r="G21">
        <v>5000</v>
      </c>
      <c r="H21">
        <v>4000</v>
      </c>
      <c r="I21">
        <v>0.1</v>
      </c>
      <c r="J21" t="s">
        <v>333</v>
      </c>
      <c r="K21" t="s">
        <v>337</v>
      </c>
    </row>
    <row r="22" spans="1:11" x14ac:dyDescent="0.25">
      <c r="A22" t="s">
        <v>31</v>
      </c>
      <c r="B22" t="s">
        <v>151</v>
      </c>
      <c r="C22" t="s">
        <v>269</v>
      </c>
      <c r="D22" t="s">
        <v>317</v>
      </c>
      <c r="E22" t="s">
        <v>325</v>
      </c>
      <c r="F22">
        <v>6</v>
      </c>
      <c r="G22">
        <v>8500</v>
      </c>
      <c r="H22">
        <v>7000</v>
      </c>
      <c r="I22">
        <v>0.1</v>
      </c>
      <c r="J22" t="s">
        <v>334</v>
      </c>
      <c r="K22" t="s">
        <v>339</v>
      </c>
    </row>
    <row r="23" spans="1:11" x14ac:dyDescent="0.25">
      <c r="A23" t="s">
        <v>32</v>
      </c>
      <c r="B23" t="s">
        <v>152</v>
      </c>
      <c r="C23" t="s">
        <v>270</v>
      </c>
      <c r="D23" t="s">
        <v>319</v>
      </c>
      <c r="E23" t="s">
        <v>323</v>
      </c>
      <c r="F23">
        <v>6</v>
      </c>
      <c r="G23">
        <v>9000</v>
      </c>
      <c r="H23">
        <v>7600</v>
      </c>
      <c r="I23">
        <v>0.1</v>
      </c>
      <c r="J23" t="s">
        <v>332</v>
      </c>
      <c r="K23" t="s">
        <v>339</v>
      </c>
    </row>
    <row r="24" spans="1:11" x14ac:dyDescent="0.25">
      <c r="A24" t="s">
        <v>33</v>
      </c>
      <c r="B24" t="s">
        <v>153</v>
      </c>
      <c r="C24" t="s">
        <v>271</v>
      </c>
      <c r="D24" t="s">
        <v>319</v>
      </c>
      <c r="E24" t="s">
        <v>323</v>
      </c>
      <c r="F24">
        <v>5</v>
      </c>
      <c r="G24">
        <v>9000</v>
      </c>
      <c r="H24">
        <v>7600</v>
      </c>
      <c r="I24">
        <v>0</v>
      </c>
      <c r="J24" t="s">
        <v>331</v>
      </c>
      <c r="K24" t="s">
        <v>337</v>
      </c>
    </row>
    <row r="25" spans="1:11" x14ac:dyDescent="0.25">
      <c r="A25" t="s">
        <v>34</v>
      </c>
      <c r="B25" t="s">
        <v>154</v>
      </c>
      <c r="C25" t="s">
        <v>272</v>
      </c>
      <c r="D25" t="s">
        <v>321</v>
      </c>
      <c r="E25" t="s">
        <v>324</v>
      </c>
      <c r="F25">
        <v>2</v>
      </c>
      <c r="G25">
        <v>9000</v>
      </c>
      <c r="H25">
        <v>7600</v>
      </c>
      <c r="I25">
        <v>0.05</v>
      </c>
      <c r="J25" t="s">
        <v>331</v>
      </c>
      <c r="K25" t="s">
        <v>339</v>
      </c>
    </row>
    <row r="26" spans="1:11" x14ac:dyDescent="0.25">
      <c r="A26" t="s">
        <v>35</v>
      </c>
      <c r="B26" t="s">
        <v>155</v>
      </c>
      <c r="C26" t="s">
        <v>273</v>
      </c>
      <c r="D26" t="s">
        <v>321</v>
      </c>
      <c r="E26" t="s">
        <v>325</v>
      </c>
      <c r="F26">
        <v>6</v>
      </c>
      <c r="G26">
        <v>8500</v>
      </c>
      <c r="H26">
        <v>7000</v>
      </c>
      <c r="I26">
        <v>0.1</v>
      </c>
      <c r="J26" t="s">
        <v>330</v>
      </c>
      <c r="K26" t="s">
        <v>336</v>
      </c>
    </row>
    <row r="27" spans="1:11" x14ac:dyDescent="0.25">
      <c r="A27" t="s">
        <v>36</v>
      </c>
      <c r="B27" t="s">
        <v>156</v>
      </c>
      <c r="C27" t="s">
        <v>274</v>
      </c>
      <c r="D27" t="s">
        <v>316</v>
      </c>
      <c r="E27" t="s">
        <v>325</v>
      </c>
      <c r="F27">
        <v>3</v>
      </c>
      <c r="G27">
        <v>8500</v>
      </c>
      <c r="H27">
        <v>7000</v>
      </c>
      <c r="I27">
        <v>0.05</v>
      </c>
      <c r="J27" t="s">
        <v>333</v>
      </c>
      <c r="K27" t="s">
        <v>340</v>
      </c>
    </row>
    <row r="28" spans="1:11" x14ac:dyDescent="0.25">
      <c r="A28" t="s">
        <v>37</v>
      </c>
      <c r="B28" t="s">
        <v>157</v>
      </c>
      <c r="C28" t="s">
        <v>275</v>
      </c>
      <c r="D28" t="s">
        <v>318</v>
      </c>
      <c r="E28" t="s">
        <v>325</v>
      </c>
      <c r="F28">
        <v>4</v>
      </c>
      <c r="G28">
        <v>8500</v>
      </c>
      <c r="H28">
        <v>7000</v>
      </c>
      <c r="I28">
        <v>0.1</v>
      </c>
      <c r="J28" t="s">
        <v>333</v>
      </c>
      <c r="K28" t="s">
        <v>340</v>
      </c>
    </row>
    <row r="29" spans="1:11" x14ac:dyDescent="0.25">
      <c r="A29" t="s">
        <v>38</v>
      </c>
      <c r="B29" t="s">
        <v>158</v>
      </c>
      <c r="C29" t="s">
        <v>276</v>
      </c>
      <c r="D29" t="s">
        <v>318</v>
      </c>
      <c r="E29" t="s">
        <v>322</v>
      </c>
      <c r="F29">
        <v>3</v>
      </c>
      <c r="G29">
        <v>8500</v>
      </c>
      <c r="H29">
        <v>7000</v>
      </c>
      <c r="I29">
        <v>0.1</v>
      </c>
      <c r="J29" t="s">
        <v>330</v>
      </c>
      <c r="K29" t="s">
        <v>340</v>
      </c>
    </row>
    <row r="30" spans="1:11" x14ac:dyDescent="0.25">
      <c r="A30" t="s">
        <v>39</v>
      </c>
      <c r="B30" t="s">
        <v>159</v>
      </c>
      <c r="C30" t="s">
        <v>277</v>
      </c>
      <c r="D30" t="s">
        <v>316</v>
      </c>
      <c r="E30" t="s">
        <v>323</v>
      </c>
      <c r="F30">
        <v>3</v>
      </c>
      <c r="G30">
        <v>9000</v>
      </c>
      <c r="H30">
        <v>7600</v>
      </c>
      <c r="I30">
        <v>0</v>
      </c>
      <c r="J30" t="s">
        <v>330</v>
      </c>
      <c r="K30" t="s">
        <v>339</v>
      </c>
    </row>
    <row r="31" spans="1:11" x14ac:dyDescent="0.25">
      <c r="A31" t="s">
        <v>40</v>
      </c>
      <c r="B31" t="s">
        <v>160</v>
      </c>
      <c r="C31" t="s">
        <v>275</v>
      </c>
      <c r="D31" t="s">
        <v>316</v>
      </c>
      <c r="E31" t="s">
        <v>324</v>
      </c>
      <c r="F31">
        <v>2</v>
      </c>
      <c r="G31">
        <v>9000</v>
      </c>
      <c r="H31">
        <v>7600</v>
      </c>
      <c r="I31">
        <v>0</v>
      </c>
      <c r="J31" t="s">
        <v>330</v>
      </c>
      <c r="K31" t="s">
        <v>340</v>
      </c>
    </row>
    <row r="32" spans="1:11" x14ac:dyDescent="0.25">
      <c r="A32" t="s">
        <v>41</v>
      </c>
      <c r="B32" t="s">
        <v>161</v>
      </c>
      <c r="C32" t="s">
        <v>255</v>
      </c>
      <c r="D32" t="s">
        <v>319</v>
      </c>
      <c r="E32" t="s">
        <v>329</v>
      </c>
      <c r="F32">
        <v>7</v>
      </c>
      <c r="G32">
        <v>1200</v>
      </c>
      <c r="H32">
        <v>900</v>
      </c>
      <c r="I32">
        <v>0</v>
      </c>
      <c r="J32" t="s">
        <v>331</v>
      </c>
      <c r="K32" t="s">
        <v>336</v>
      </c>
    </row>
    <row r="33" spans="1:11" x14ac:dyDescent="0.25">
      <c r="A33" t="s">
        <v>42</v>
      </c>
      <c r="B33" t="s">
        <v>162</v>
      </c>
      <c r="C33" t="s">
        <v>278</v>
      </c>
      <c r="D33" t="s">
        <v>315</v>
      </c>
      <c r="E33" t="s">
        <v>324</v>
      </c>
      <c r="F33">
        <v>2</v>
      </c>
      <c r="G33">
        <v>9000</v>
      </c>
      <c r="H33">
        <v>7600</v>
      </c>
      <c r="I33">
        <v>0</v>
      </c>
      <c r="J33" t="s">
        <v>332</v>
      </c>
      <c r="K33" t="s">
        <v>340</v>
      </c>
    </row>
    <row r="34" spans="1:11" x14ac:dyDescent="0.25">
      <c r="A34" t="s">
        <v>43</v>
      </c>
      <c r="B34" t="s">
        <v>163</v>
      </c>
      <c r="C34" t="s">
        <v>279</v>
      </c>
      <c r="D34" t="s">
        <v>315</v>
      </c>
      <c r="E34" t="s">
        <v>328</v>
      </c>
      <c r="F34">
        <v>1</v>
      </c>
      <c r="G34">
        <v>5000</v>
      </c>
      <c r="H34">
        <v>4000</v>
      </c>
      <c r="I34">
        <v>0</v>
      </c>
      <c r="J34" t="s">
        <v>331</v>
      </c>
      <c r="K34" t="s">
        <v>339</v>
      </c>
    </row>
    <row r="35" spans="1:11" x14ac:dyDescent="0.25">
      <c r="A35" t="s">
        <v>44</v>
      </c>
      <c r="B35" t="s">
        <v>164</v>
      </c>
      <c r="C35" t="s">
        <v>280</v>
      </c>
      <c r="D35" t="s">
        <v>321</v>
      </c>
      <c r="E35" t="s">
        <v>326</v>
      </c>
      <c r="F35">
        <v>7</v>
      </c>
      <c r="G35">
        <v>1800</v>
      </c>
      <c r="H35">
        <v>1400</v>
      </c>
      <c r="I35">
        <v>0</v>
      </c>
      <c r="J35" t="s">
        <v>331</v>
      </c>
      <c r="K35" t="s">
        <v>340</v>
      </c>
    </row>
    <row r="36" spans="1:11" x14ac:dyDescent="0.25">
      <c r="A36" t="s">
        <v>45</v>
      </c>
      <c r="B36" t="s">
        <v>165</v>
      </c>
      <c r="C36" t="s">
        <v>281</v>
      </c>
      <c r="D36" t="s">
        <v>318</v>
      </c>
      <c r="E36" t="s">
        <v>329</v>
      </c>
      <c r="F36">
        <v>4</v>
      </c>
      <c r="G36">
        <v>1200</v>
      </c>
      <c r="H36">
        <v>900</v>
      </c>
      <c r="I36">
        <v>0.05</v>
      </c>
      <c r="J36" t="s">
        <v>331</v>
      </c>
      <c r="K36" t="s">
        <v>337</v>
      </c>
    </row>
    <row r="37" spans="1:11" x14ac:dyDescent="0.25">
      <c r="A37" t="s">
        <v>46</v>
      </c>
      <c r="B37" t="s">
        <v>166</v>
      </c>
      <c r="C37" t="s">
        <v>260</v>
      </c>
      <c r="D37" t="s">
        <v>318</v>
      </c>
      <c r="E37" t="s">
        <v>322</v>
      </c>
      <c r="F37">
        <v>4</v>
      </c>
      <c r="G37">
        <v>8500</v>
      </c>
      <c r="H37">
        <v>7000</v>
      </c>
      <c r="I37">
        <v>0</v>
      </c>
      <c r="J37" t="s">
        <v>334</v>
      </c>
      <c r="K37" t="s">
        <v>336</v>
      </c>
    </row>
    <row r="38" spans="1:11" x14ac:dyDescent="0.25">
      <c r="A38" t="s">
        <v>47</v>
      </c>
      <c r="B38" t="s">
        <v>167</v>
      </c>
      <c r="C38" t="s">
        <v>276</v>
      </c>
      <c r="D38" t="s">
        <v>318</v>
      </c>
      <c r="E38" t="s">
        <v>325</v>
      </c>
      <c r="F38">
        <v>6</v>
      </c>
      <c r="G38">
        <v>8500</v>
      </c>
      <c r="H38">
        <v>7000</v>
      </c>
      <c r="I38">
        <v>0</v>
      </c>
      <c r="J38" t="s">
        <v>331</v>
      </c>
      <c r="K38" t="s">
        <v>340</v>
      </c>
    </row>
    <row r="39" spans="1:11" x14ac:dyDescent="0.25">
      <c r="A39" t="s">
        <v>48</v>
      </c>
      <c r="B39" t="s">
        <v>168</v>
      </c>
      <c r="C39" t="s">
        <v>256</v>
      </c>
      <c r="D39" t="s">
        <v>317</v>
      </c>
      <c r="E39" t="s">
        <v>324</v>
      </c>
      <c r="F39">
        <v>3</v>
      </c>
      <c r="G39">
        <v>9000</v>
      </c>
      <c r="H39">
        <v>7600</v>
      </c>
      <c r="I39">
        <v>0.05</v>
      </c>
      <c r="J39" t="s">
        <v>334</v>
      </c>
      <c r="K39" t="s">
        <v>340</v>
      </c>
    </row>
    <row r="40" spans="1:11" x14ac:dyDescent="0.25">
      <c r="A40" t="s">
        <v>49</v>
      </c>
      <c r="B40" t="s">
        <v>169</v>
      </c>
      <c r="C40" t="s">
        <v>259</v>
      </c>
      <c r="D40" t="s">
        <v>315</v>
      </c>
      <c r="E40" t="s">
        <v>328</v>
      </c>
      <c r="F40">
        <v>1</v>
      </c>
      <c r="G40">
        <v>5000</v>
      </c>
      <c r="H40">
        <v>4000</v>
      </c>
      <c r="I40">
        <v>0</v>
      </c>
      <c r="J40" t="s">
        <v>333</v>
      </c>
      <c r="K40" t="s">
        <v>336</v>
      </c>
    </row>
    <row r="41" spans="1:11" x14ac:dyDescent="0.25">
      <c r="A41" t="s">
        <v>50</v>
      </c>
      <c r="B41" t="s">
        <v>170</v>
      </c>
      <c r="C41" t="s">
        <v>274</v>
      </c>
      <c r="D41" t="s">
        <v>315</v>
      </c>
      <c r="E41" t="s">
        <v>328</v>
      </c>
      <c r="F41">
        <v>6</v>
      </c>
      <c r="G41">
        <v>5000</v>
      </c>
      <c r="H41">
        <v>4000</v>
      </c>
      <c r="I41">
        <v>0.05</v>
      </c>
      <c r="J41" t="s">
        <v>333</v>
      </c>
      <c r="K41" t="s">
        <v>338</v>
      </c>
    </row>
    <row r="42" spans="1:11" x14ac:dyDescent="0.25">
      <c r="A42" t="s">
        <v>51</v>
      </c>
      <c r="B42" t="s">
        <v>171</v>
      </c>
      <c r="C42" t="s">
        <v>282</v>
      </c>
      <c r="D42" t="s">
        <v>319</v>
      </c>
      <c r="E42" t="s">
        <v>323</v>
      </c>
      <c r="F42">
        <v>2</v>
      </c>
      <c r="G42">
        <v>9000</v>
      </c>
      <c r="H42">
        <v>7600</v>
      </c>
      <c r="I42">
        <v>0</v>
      </c>
      <c r="J42" t="s">
        <v>330</v>
      </c>
      <c r="K42" t="s">
        <v>336</v>
      </c>
    </row>
    <row r="43" spans="1:11" x14ac:dyDescent="0.25">
      <c r="A43" t="s">
        <v>52</v>
      </c>
      <c r="B43" t="s">
        <v>172</v>
      </c>
      <c r="C43" t="s">
        <v>252</v>
      </c>
      <c r="D43" t="s">
        <v>318</v>
      </c>
      <c r="E43" t="s">
        <v>322</v>
      </c>
      <c r="F43">
        <v>4</v>
      </c>
      <c r="G43">
        <v>8500</v>
      </c>
      <c r="H43">
        <v>7000</v>
      </c>
      <c r="I43">
        <v>0.1</v>
      </c>
      <c r="J43" t="s">
        <v>334</v>
      </c>
      <c r="K43" t="s">
        <v>338</v>
      </c>
    </row>
    <row r="44" spans="1:11" x14ac:dyDescent="0.25">
      <c r="A44" t="s">
        <v>53</v>
      </c>
      <c r="B44" t="s">
        <v>173</v>
      </c>
      <c r="C44" t="s">
        <v>283</v>
      </c>
      <c r="D44" t="s">
        <v>317</v>
      </c>
      <c r="E44" t="s">
        <v>328</v>
      </c>
      <c r="F44">
        <v>7</v>
      </c>
      <c r="G44">
        <v>5000</v>
      </c>
      <c r="H44">
        <v>4000</v>
      </c>
      <c r="I44">
        <v>0</v>
      </c>
      <c r="J44" t="s">
        <v>334</v>
      </c>
      <c r="K44" t="s">
        <v>338</v>
      </c>
    </row>
    <row r="45" spans="1:11" x14ac:dyDescent="0.25">
      <c r="A45" t="s">
        <v>54</v>
      </c>
      <c r="B45" t="s">
        <v>174</v>
      </c>
      <c r="C45" t="s">
        <v>284</v>
      </c>
      <c r="D45" t="s">
        <v>318</v>
      </c>
      <c r="E45" t="s">
        <v>323</v>
      </c>
      <c r="F45">
        <v>7</v>
      </c>
      <c r="G45">
        <v>9000</v>
      </c>
      <c r="H45">
        <v>7600</v>
      </c>
      <c r="I45">
        <v>0</v>
      </c>
      <c r="J45" t="s">
        <v>331</v>
      </c>
      <c r="K45" t="s">
        <v>339</v>
      </c>
    </row>
    <row r="46" spans="1:11" x14ac:dyDescent="0.25">
      <c r="A46" t="s">
        <v>55</v>
      </c>
      <c r="B46" t="s">
        <v>175</v>
      </c>
      <c r="C46" t="s">
        <v>251</v>
      </c>
      <c r="D46" t="s">
        <v>318</v>
      </c>
      <c r="E46" t="s">
        <v>327</v>
      </c>
      <c r="F46">
        <v>3</v>
      </c>
      <c r="G46">
        <v>7500</v>
      </c>
      <c r="H46">
        <v>6300</v>
      </c>
      <c r="I46">
        <v>0.1</v>
      </c>
      <c r="J46" t="s">
        <v>330</v>
      </c>
      <c r="K46" t="s">
        <v>341</v>
      </c>
    </row>
    <row r="47" spans="1:11" x14ac:dyDescent="0.25">
      <c r="A47" t="s">
        <v>56</v>
      </c>
      <c r="B47" t="s">
        <v>176</v>
      </c>
      <c r="C47" t="s">
        <v>285</v>
      </c>
      <c r="D47" t="s">
        <v>321</v>
      </c>
      <c r="E47" t="s">
        <v>326</v>
      </c>
      <c r="F47">
        <v>6</v>
      </c>
      <c r="G47">
        <v>1800</v>
      </c>
      <c r="H47">
        <v>1400</v>
      </c>
      <c r="I47">
        <v>0.05</v>
      </c>
      <c r="J47" t="s">
        <v>330</v>
      </c>
      <c r="K47" t="s">
        <v>340</v>
      </c>
    </row>
    <row r="48" spans="1:11" x14ac:dyDescent="0.25">
      <c r="A48" t="s">
        <v>57</v>
      </c>
      <c r="B48" t="s">
        <v>177</v>
      </c>
      <c r="C48" t="s">
        <v>286</v>
      </c>
      <c r="D48" t="s">
        <v>315</v>
      </c>
      <c r="E48" t="s">
        <v>327</v>
      </c>
      <c r="F48">
        <v>5</v>
      </c>
      <c r="G48">
        <v>7500</v>
      </c>
      <c r="H48">
        <v>6300</v>
      </c>
      <c r="I48">
        <v>0</v>
      </c>
      <c r="J48" t="s">
        <v>331</v>
      </c>
      <c r="K48" t="s">
        <v>339</v>
      </c>
    </row>
    <row r="49" spans="1:11" x14ac:dyDescent="0.25">
      <c r="A49" t="s">
        <v>58</v>
      </c>
      <c r="B49" t="s">
        <v>178</v>
      </c>
      <c r="C49" t="s">
        <v>276</v>
      </c>
      <c r="D49" t="s">
        <v>316</v>
      </c>
      <c r="E49" t="s">
        <v>324</v>
      </c>
      <c r="F49">
        <v>4</v>
      </c>
      <c r="G49">
        <v>9000</v>
      </c>
      <c r="H49">
        <v>7600</v>
      </c>
      <c r="I49">
        <v>0</v>
      </c>
      <c r="J49" t="s">
        <v>334</v>
      </c>
      <c r="K49" t="s">
        <v>339</v>
      </c>
    </row>
    <row r="50" spans="1:11" x14ac:dyDescent="0.25">
      <c r="A50" t="s">
        <v>59</v>
      </c>
      <c r="B50" t="s">
        <v>179</v>
      </c>
      <c r="C50" t="s">
        <v>287</v>
      </c>
      <c r="D50" t="s">
        <v>316</v>
      </c>
      <c r="E50" t="s">
        <v>323</v>
      </c>
      <c r="F50">
        <v>1</v>
      </c>
      <c r="G50">
        <v>9000</v>
      </c>
      <c r="H50">
        <v>7600</v>
      </c>
      <c r="I50">
        <v>0</v>
      </c>
      <c r="J50" t="s">
        <v>331</v>
      </c>
      <c r="K50" t="s">
        <v>338</v>
      </c>
    </row>
    <row r="51" spans="1:11" x14ac:dyDescent="0.25">
      <c r="A51" t="s">
        <v>60</v>
      </c>
      <c r="B51" t="s">
        <v>180</v>
      </c>
      <c r="C51" t="s">
        <v>263</v>
      </c>
      <c r="D51" t="s">
        <v>318</v>
      </c>
      <c r="E51" t="s">
        <v>325</v>
      </c>
      <c r="F51">
        <v>3</v>
      </c>
      <c r="G51">
        <v>8500</v>
      </c>
      <c r="H51">
        <v>7000</v>
      </c>
      <c r="I51">
        <v>0</v>
      </c>
      <c r="J51" t="s">
        <v>331</v>
      </c>
      <c r="K51" t="s">
        <v>338</v>
      </c>
    </row>
    <row r="52" spans="1:11" x14ac:dyDescent="0.25">
      <c r="A52" t="s">
        <v>61</v>
      </c>
      <c r="B52" t="s">
        <v>181</v>
      </c>
      <c r="C52" t="s">
        <v>263</v>
      </c>
      <c r="D52" t="s">
        <v>317</v>
      </c>
      <c r="E52" t="s">
        <v>324</v>
      </c>
      <c r="F52">
        <v>5</v>
      </c>
      <c r="G52">
        <v>9000</v>
      </c>
      <c r="H52">
        <v>7600</v>
      </c>
      <c r="I52">
        <v>0</v>
      </c>
      <c r="J52" t="s">
        <v>333</v>
      </c>
      <c r="K52" t="s">
        <v>339</v>
      </c>
    </row>
    <row r="53" spans="1:11" x14ac:dyDescent="0.25">
      <c r="A53" t="s">
        <v>62</v>
      </c>
      <c r="B53" t="s">
        <v>182</v>
      </c>
      <c r="C53" t="s">
        <v>267</v>
      </c>
      <c r="D53" t="s">
        <v>319</v>
      </c>
      <c r="E53" t="s">
        <v>324</v>
      </c>
      <c r="F53">
        <v>7</v>
      </c>
      <c r="G53">
        <v>9000</v>
      </c>
      <c r="H53">
        <v>7600</v>
      </c>
      <c r="I53">
        <v>0.05</v>
      </c>
      <c r="J53" t="s">
        <v>334</v>
      </c>
      <c r="K53" t="s">
        <v>336</v>
      </c>
    </row>
    <row r="54" spans="1:11" x14ac:dyDescent="0.25">
      <c r="A54" t="s">
        <v>63</v>
      </c>
      <c r="B54" t="s">
        <v>183</v>
      </c>
      <c r="C54" t="s">
        <v>288</v>
      </c>
      <c r="D54" t="s">
        <v>321</v>
      </c>
      <c r="E54" t="s">
        <v>328</v>
      </c>
      <c r="F54">
        <v>1</v>
      </c>
      <c r="G54">
        <v>5000</v>
      </c>
      <c r="H54">
        <v>4000</v>
      </c>
      <c r="I54">
        <v>0</v>
      </c>
      <c r="J54" t="s">
        <v>334</v>
      </c>
      <c r="K54" t="s">
        <v>340</v>
      </c>
    </row>
    <row r="55" spans="1:11" x14ac:dyDescent="0.25">
      <c r="A55" t="s">
        <v>64</v>
      </c>
      <c r="B55" t="s">
        <v>184</v>
      </c>
      <c r="C55" t="s">
        <v>289</v>
      </c>
      <c r="D55" t="s">
        <v>319</v>
      </c>
      <c r="E55" t="s">
        <v>324</v>
      </c>
      <c r="F55">
        <v>6</v>
      </c>
      <c r="G55">
        <v>9000</v>
      </c>
      <c r="H55">
        <v>7600</v>
      </c>
      <c r="I55">
        <v>0.1</v>
      </c>
      <c r="J55" t="s">
        <v>330</v>
      </c>
      <c r="K55" t="s">
        <v>338</v>
      </c>
    </row>
    <row r="56" spans="1:11" x14ac:dyDescent="0.25">
      <c r="A56" t="s">
        <v>65</v>
      </c>
      <c r="B56" t="s">
        <v>185</v>
      </c>
      <c r="C56" t="s">
        <v>289</v>
      </c>
      <c r="D56" t="s">
        <v>316</v>
      </c>
      <c r="E56" t="s">
        <v>325</v>
      </c>
      <c r="F56">
        <v>6</v>
      </c>
      <c r="G56">
        <v>8500</v>
      </c>
      <c r="H56">
        <v>7000</v>
      </c>
      <c r="I56">
        <v>0.05</v>
      </c>
      <c r="J56" t="s">
        <v>333</v>
      </c>
      <c r="K56" t="s">
        <v>339</v>
      </c>
    </row>
    <row r="57" spans="1:11" x14ac:dyDescent="0.25">
      <c r="A57" t="s">
        <v>66</v>
      </c>
      <c r="B57" t="s">
        <v>186</v>
      </c>
      <c r="C57" t="s">
        <v>251</v>
      </c>
      <c r="D57" t="s">
        <v>316</v>
      </c>
      <c r="E57" t="s">
        <v>329</v>
      </c>
      <c r="F57">
        <v>7</v>
      </c>
      <c r="G57">
        <v>1200</v>
      </c>
      <c r="H57">
        <v>900</v>
      </c>
      <c r="I57">
        <v>0.05</v>
      </c>
      <c r="J57" t="s">
        <v>335</v>
      </c>
      <c r="K57" t="s">
        <v>339</v>
      </c>
    </row>
    <row r="58" spans="1:11" x14ac:dyDescent="0.25">
      <c r="A58" t="s">
        <v>67</v>
      </c>
      <c r="B58" t="s">
        <v>187</v>
      </c>
      <c r="C58" t="s">
        <v>290</v>
      </c>
      <c r="D58" t="s">
        <v>321</v>
      </c>
      <c r="E58" t="s">
        <v>323</v>
      </c>
      <c r="F58">
        <v>3</v>
      </c>
      <c r="G58">
        <v>9000</v>
      </c>
      <c r="H58">
        <v>7600</v>
      </c>
      <c r="I58">
        <v>0</v>
      </c>
      <c r="J58" t="s">
        <v>333</v>
      </c>
      <c r="K58" t="s">
        <v>336</v>
      </c>
    </row>
    <row r="59" spans="1:11" x14ac:dyDescent="0.25">
      <c r="A59" t="s">
        <v>68</v>
      </c>
      <c r="B59" t="s">
        <v>188</v>
      </c>
      <c r="C59" t="s">
        <v>291</v>
      </c>
      <c r="D59" t="s">
        <v>318</v>
      </c>
      <c r="E59" t="s">
        <v>325</v>
      </c>
      <c r="F59">
        <v>1</v>
      </c>
      <c r="G59">
        <v>8500</v>
      </c>
      <c r="H59">
        <v>7000</v>
      </c>
      <c r="I59">
        <v>0</v>
      </c>
      <c r="J59" t="s">
        <v>334</v>
      </c>
      <c r="K59" t="s">
        <v>336</v>
      </c>
    </row>
    <row r="60" spans="1:11" x14ac:dyDescent="0.25">
      <c r="A60" t="s">
        <v>69</v>
      </c>
      <c r="B60" t="s">
        <v>189</v>
      </c>
      <c r="C60" t="s">
        <v>273</v>
      </c>
      <c r="D60" t="s">
        <v>319</v>
      </c>
      <c r="E60" t="s">
        <v>328</v>
      </c>
      <c r="F60">
        <v>2</v>
      </c>
      <c r="G60">
        <v>5000</v>
      </c>
      <c r="H60">
        <v>4000</v>
      </c>
      <c r="I60">
        <v>0</v>
      </c>
      <c r="J60" t="s">
        <v>333</v>
      </c>
      <c r="K60" t="s">
        <v>337</v>
      </c>
    </row>
    <row r="61" spans="1:11" x14ac:dyDescent="0.25">
      <c r="A61" t="s">
        <v>70</v>
      </c>
      <c r="B61" t="s">
        <v>190</v>
      </c>
      <c r="C61" t="s">
        <v>292</v>
      </c>
      <c r="D61" t="s">
        <v>315</v>
      </c>
      <c r="E61" t="s">
        <v>326</v>
      </c>
      <c r="F61">
        <v>6</v>
      </c>
      <c r="G61">
        <v>1800</v>
      </c>
      <c r="H61">
        <v>1400</v>
      </c>
      <c r="I61">
        <v>0.05</v>
      </c>
      <c r="J61" t="s">
        <v>334</v>
      </c>
      <c r="K61" t="s">
        <v>340</v>
      </c>
    </row>
    <row r="62" spans="1:11" x14ac:dyDescent="0.25">
      <c r="A62" t="s">
        <v>71</v>
      </c>
      <c r="B62" t="s">
        <v>191</v>
      </c>
      <c r="C62" t="s">
        <v>293</v>
      </c>
      <c r="D62" t="s">
        <v>318</v>
      </c>
      <c r="E62" t="s">
        <v>323</v>
      </c>
      <c r="F62">
        <v>7</v>
      </c>
      <c r="G62">
        <v>9000</v>
      </c>
      <c r="H62">
        <v>7600</v>
      </c>
      <c r="I62">
        <v>0</v>
      </c>
      <c r="J62" t="s">
        <v>332</v>
      </c>
      <c r="K62" t="s">
        <v>337</v>
      </c>
    </row>
    <row r="63" spans="1:11" x14ac:dyDescent="0.25">
      <c r="A63" t="s">
        <v>72</v>
      </c>
      <c r="B63" t="s">
        <v>192</v>
      </c>
      <c r="C63" t="s">
        <v>294</v>
      </c>
      <c r="D63" t="s">
        <v>317</v>
      </c>
      <c r="E63" t="s">
        <v>329</v>
      </c>
      <c r="F63">
        <v>5</v>
      </c>
      <c r="G63">
        <v>1200</v>
      </c>
      <c r="H63">
        <v>900</v>
      </c>
      <c r="I63">
        <v>0</v>
      </c>
      <c r="J63" t="s">
        <v>334</v>
      </c>
      <c r="K63" t="s">
        <v>336</v>
      </c>
    </row>
    <row r="64" spans="1:11" x14ac:dyDescent="0.25">
      <c r="A64" t="s">
        <v>73</v>
      </c>
      <c r="B64" t="s">
        <v>193</v>
      </c>
      <c r="C64" t="s">
        <v>284</v>
      </c>
      <c r="D64" t="s">
        <v>315</v>
      </c>
      <c r="E64" t="s">
        <v>322</v>
      </c>
      <c r="F64">
        <v>1</v>
      </c>
      <c r="G64">
        <v>8500</v>
      </c>
      <c r="H64">
        <v>7000</v>
      </c>
      <c r="I64">
        <v>0</v>
      </c>
      <c r="J64" t="s">
        <v>334</v>
      </c>
      <c r="K64" t="s">
        <v>337</v>
      </c>
    </row>
    <row r="65" spans="1:11" x14ac:dyDescent="0.25">
      <c r="A65" t="s">
        <v>74</v>
      </c>
      <c r="B65" t="s">
        <v>194</v>
      </c>
      <c r="C65" t="s">
        <v>295</v>
      </c>
      <c r="D65" t="s">
        <v>321</v>
      </c>
      <c r="E65" t="s">
        <v>326</v>
      </c>
      <c r="F65">
        <v>1</v>
      </c>
      <c r="H65">
        <v>1400</v>
      </c>
      <c r="I65">
        <v>0.1</v>
      </c>
      <c r="J65" t="s">
        <v>334</v>
      </c>
      <c r="K65" t="s">
        <v>340</v>
      </c>
    </row>
    <row r="66" spans="1:11" x14ac:dyDescent="0.25">
      <c r="A66" t="s">
        <v>75</v>
      </c>
      <c r="B66" t="s">
        <v>195</v>
      </c>
      <c r="C66" t="s">
        <v>254</v>
      </c>
      <c r="D66" t="s">
        <v>316</v>
      </c>
      <c r="E66" t="s">
        <v>327</v>
      </c>
      <c r="F66">
        <v>4</v>
      </c>
      <c r="G66">
        <v>7500</v>
      </c>
      <c r="H66">
        <v>6300</v>
      </c>
      <c r="I66">
        <v>0</v>
      </c>
      <c r="J66" t="s">
        <v>331</v>
      </c>
      <c r="K66" t="s">
        <v>339</v>
      </c>
    </row>
    <row r="67" spans="1:11" x14ac:dyDescent="0.25">
      <c r="A67" t="s">
        <v>76</v>
      </c>
      <c r="B67" t="s">
        <v>196</v>
      </c>
      <c r="C67" t="s">
        <v>284</v>
      </c>
      <c r="D67" t="s">
        <v>315</v>
      </c>
      <c r="E67" t="s">
        <v>324</v>
      </c>
      <c r="F67">
        <v>5</v>
      </c>
      <c r="G67">
        <v>9000</v>
      </c>
      <c r="H67">
        <v>7600</v>
      </c>
      <c r="I67">
        <v>0.05</v>
      </c>
      <c r="J67" t="s">
        <v>334</v>
      </c>
      <c r="K67" t="s">
        <v>336</v>
      </c>
    </row>
    <row r="68" spans="1:11" x14ac:dyDescent="0.25">
      <c r="A68" t="s">
        <v>77</v>
      </c>
      <c r="B68" t="s">
        <v>197</v>
      </c>
      <c r="C68" t="s">
        <v>296</v>
      </c>
      <c r="D68" t="s">
        <v>319</v>
      </c>
      <c r="E68" t="s">
        <v>322</v>
      </c>
      <c r="F68">
        <v>1</v>
      </c>
      <c r="G68">
        <v>8500</v>
      </c>
      <c r="H68">
        <v>7000</v>
      </c>
      <c r="I68">
        <v>0</v>
      </c>
      <c r="J68" t="s">
        <v>333</v>
      </c>
      <c r="K68" t="s">
        <v>339</v>
      </c>
    </row>
    <row r="69" spans="1:11" x14ac:dyDescent="0.25">
      <c r="A69" t="s">
        <v>78</v>
      </c>
      <c r="B69" t="s">
        <v>198</v>
      </c>
      <c r="C69" t="s">
        <v>284</v>
      </c>
      <c r="D69" t="s">
        <v>316</v>
      </c>
      <c r="E69" t="s">
        <v>322</v>
      </c>
      <c r="F69">
        <v>5</v>
      </c>
      <c r="G69">
        <v>8500</v>
      </c>
      <c r="H69">
        <v>7000</v>
      </c>
      <c r="I69">
        <v>0</v>
      </c>
      <c r="J69" t="s">
        <v>333</v>
      </c>
      <c r="K69" t="s">
        <v>338</v>
      </c>
    </row>
    <row r="70" spans="1:11" x14ac:dyDescent="0.25">
      <c r="A70" t="s">
        <v>79</v>
      </c>
      <c r="B70" t="s">
        <v>199</v>
      </c>
      <c r="C70" t="s">
        <v>297</v>
      </c>
      <c r="D70" t="s">
        <v>319</v>
      </c>
      <c r="E70" t="s">
        <v>325</v>
      </c>
      <c r="F70">
        <v>4</v>
      </c>
      <c r="G70">
        <v>8500</v>
      </c>
      <c r="H70">
        <v>7000</v>
      </c>
      <c r="I70">
        <v>0</v>
      </c>
      <c r="J70" t="s">
        <v>333</v>
      </c>
      <c r="K70" t="s">
        <v>338</v>
      </c>
    </row>
    <row r="71" spans="1:11" x14ac:dyDescent="0.25">
      <c r="A71" t="s">
        <v>80</v>
      </c>
      <c r="B71" t="s">
        <v>200</v>
      </c>
      <c r="C71" t="s">
        <v>286</v>
      </c>
      <c r="D71" t="s">
        <v>315</v>
      </c>
      <c r="E71" t="s">
        <v>329</v>
      </c>
      <c r="F71">
        <v>1</v>
      </c>
      <c r="G71">
        <v>1200</v>
      </c>
      <c r="H71">
        <v>900</v>
      </c>
      <c r="I71">
        <v>0</v>
      </c>
      <c r="J71" t="s">
        <v>332</v>
      </c>
      <c r="K71" t="s">
        <v>337</v>
      </c>
    </row>
    <row r="72" spans="1:11" x14ac:dyDescent="0.25">
      <c r="A72" t="s">
        <v>81</v>
      </c>
      <c r="B72" t="s">
        <v>201</v>
      </c>
      <c r="C72" t="s">
        <v>252</v>
      </c>
      <c r="D72" t="s">
        <v>316</v>
      </c>
      <c r="E72" t="s">
        <v>325</v>
      </c>
      <c r="F72">
        <v>1</v>
      </c>
      <c r="G72">
        <v>8500</v>
      </c>
      <c r="H72">
        <v>7000</v>
      </c>
      <c r="I72">
        <v>0.05</v>
      </c>
      <c r="J72" t="s">
        <v>331</v>
      </c>
      <c r="K72" t="s">
        <v>338</v>
      </c>
    </row>
    <row r="73" spans="1:11" x14ac:dyDescent="0.25">
      <c r="A73" t="s">
        <v>82</v>
      </c>
      <c r="B73" t="s">
        <v>202</v>
      </c>
      <c r="C73" t="s">
        <v>298</v>
      </c>
      <c r="D73" t="s">
        <v>317</v>
      </c>
      <c r="E73" t="s">
        <v>329</v>
      </c>
      <c r="F73">
        <v>4</v>
      </c>
      <c r="G73">
        <v>1200</v>
      </c>
      <c r="H73">
        <v>900</v>
      </c>
      <c r="I73">
        <v>0</v>
      </c>
      <c r="J73" t="s">
        <v>330</v>
      </c>
      <c r="K73" t="s">
        <v>336</v>
      </c>
    </row>
    <row r="74" spans="1:11" x14ac:dyDescent="0.25">
      <c r="A74" t="s">
        <v>83</v>
      </c>
      <c r="B74" t="s">
        <v>203</v>
      </c>
      <c r="C74" t="s">
        <v>262</v>
      </c>
      <c r="D74" t="s">
        <v>315</v>
      </c>
      <c r="E74" t="s">
        <v>322</v>
      </c>
      <c r="F74">
        <v>6</v>
      </c>
      <c r="G74">
        <v>8500</v>
      </c>
      <c r="H74">
        <v>7000</v>
      </c>
      <c r="I74">
        <v>0</v>
      </c>
      <c r="J74" t="s">
        <v>331</v>
      </c>
      <c r="K74" t="s">
        <v>336</v>
      </c>
    </row>
    <row r="75" spans="1:11" x14ac:dyDescent="0.25">
      <c r="A75" t="s">
        <v>84</v>
      </c>
      <c r="B75" t="s">
        <v>204</v>
      </c>
      <c r="C75" t="s">
        <v>271</v>
      </c>
      <c r="D75" t="s">
        <v>319</v>
      </c>
      <c r="E75" t="s">
        <v>324</v>
      </c>
      <c r="F75">
        <v>6</v>
      </c>
      <c r="G75">
        <v>9000</v>
      </c>
      <c r="H75">
        <v>7600</v>
      </c>
      <c r="I75">
        <v>0.1</v>
      </c>
      <c r="J75" t="s">
        <v>330</v>
      </c>
      <c r="K75" t="s">
        <v>337</v>
      </c>
    </row>
    <row r="76" spans="1:11" x14ac:dyDescent="0.25">
      <c r="A76" t="s">
        <v>85</v>
      </c>
      <c r="B76" t="s">
        <v>205</v>
      </c>
      <c r="C76" t="s">
        <v>299</v>
      </c>
      <c r="D76" t="s">
        <v>319</v>
      </c>
      <c r="E76" t="s">
        <v>327</v>
      </c>
      <c r="F76">
        <v>4</v>
      </c>
      <c r="G76">
        <v>7500</v>
      </c>
      <c r="H76">
        <v>6300</v>
      </c>
      <c r="I76">
        <v>0</v>
      </c>
      <c r="J76" t="s">
        <v>331</v>
      </c>
      <c r="K76" t="s">
        <v>336</v>
      </c>
    </row>
    <row r="77" spans="1:11" x14ac:dyDescent="0.25">
      <c r="A77" t="s">
        <v>86</v>
      </c>
      <c r="B77" t="s">
        <v>206</v>
      </c>
      <c r="C77" t="s">
        <v>275</v>
      </c>
      <c r="D77" t="s">
        <v>316</v>
      </c>
      <c r="E77" t="s">
        <v>325</v>
      </c>
      <c r="F77">
        <v>3</v>
      </c>
      <c r="G77">
        <v>8500</v>
      </c>
      <c r="H77">
        <v>7000</v>
      </c>
      <c r="I77">
        <v>0</v>
      </c>
      <c r="J77" t="s">
        <v>333</v>
      </c>
      <c r="K77" t="s">
        <v>336</v>
      </c>
    </row>
    <row r="78" spans="1:11" x14ac:dyDescent="0.25">
      <c r="A78" t="s">
        <v>87</v>
      </c>
      <c r="B78" t="s">
        <v>207</v>
      </c>
      <c r="C78" t="s">
        <v>300</v>
      </c>
      <c r="D78" t="s">
        <v>317</v>
      </c>
      <c r="E78" t="s">
        <v>326</v>
      </c>
      <c r="F78">
        <v>7</v>
      </c>
      <c r="G78">
        <v>1800</v>
      </c>
      <c r="H78">
        <v>1400</v>
      </c>
      <c r="I78">
        <v>0</v>
      </c>
      <c r="J78" t="s">
        <v>332</v>
      </c>
      <c r="K78" t="s">
        <v>339</v>
      </c>
    </row>
    <row r="79" spans="1:11" x14ac:dyDescent="0.25">
      <c r="A79" t="s">
        <v>88</v>
      </c>
      <c r="B79" t="s">
        <v>208</v>
      </c>
      <c r="C79" t="s">
        <v>301</v>
      </c>
      <c r="D79" t="s">
        <v>317</v>
      </c>
      <c r="E79" t="s">
        <v>323</v>
      </c>
      <c r="F79">
        <v>4</v>
      </c>
      <c r="G79">
        <v>9000</v>
      </c>
      <c r="H79">
        <v>7600</v>
      </c>
      <c r="I79">
        <v>0.05</v>
      </c>
      <c r="J79" t="s">
        <v>331</v>
      </c>
      <c r="K79" t="s">
        <v>337</v>
      </c>
    </row>
    <row r="80" spans="1:11" x14ac:dyDescent="0.25">
      <c r="A80" t="s">
        <v>89</v>
      </c>
      <c r="B80" t="s">
        <v>209</v>
      </c>
      <c r="C80" t="s">
        <v>280</v>
      </c>
      <c r="D80" t="s">
        <v>321</v>
      </c>
      <c r="E80" t="s">
        <v>325</v>
      </c>
      <c r="F80">
        <v>3</v>
      </c>
      <c r="G80">
        <v>8500</v>
      </c>
      <c r="H80">
        <v>7000</v>
      </c>
      <c r="I80">
        <v>0</v>
      </c>
      <c r="J80" t="s">
        <v>332</v>
      </c>
      <c r="K80" t="s">
        <v>339</v>
      </c>
    </row>
    <row r="81" spans="1:11" x14ac:dyDescent="0.25">
      <c r="A81" t="s">
        <v>90</v>
      </c>
      <c r="B81" t="s">
        <v>210</v>
      </c>
      <c r="C81" t="s">
        <v>299</v>
      </c>
      <c r="D81" t="s">
        <v>317</v>
      </c>
      <c r="E81" t="s">
        <v>327</v>
      </c>
      <c r="F81">
        <v>4</v>
      </c>
      <c r="G81">
        <v>7500</v>
      </c>
      <c r="H81">
        <v>6300</v>
      </c>
      <c r="I81">
        <v>0.05</v>
      </c>
      <c r="J81" t="s">
        <v>331</v>
      </c>
      <c r="K81" t="s">
        <v>338</v>
      </c>
    </row>
    <row r="82" spans="1:11" x14ac:dyDescent="0.25">
      <c r="A82" t="s">
        <v>91</v>
      </c>
      <c r="B82" t="s">
        <v>211</v>
      </c>
      <c r="C82" t="s">
        <v>302</v>
      </c>
      <c r="D82" t="s">
        <v>319</v>
      </c>
      <c r="E82" t="s">
        <v>323</v>
      </c>
      <c r="F82">
        <v>1</v>
      </c>
      <c r="G82">
        <v>9000</v>
      </c>
      <c r="H82">
        <v>7600</v>
      </c>
      <c r="I82">
        <v>0.1</v>
      </c>
      <c r="J82" t="s">
        <v>333</v>
      </c>
      <c r="K82" t="s">
        <v>336</v>
      </c>
    </row>
    <row r="83" spans="1:11" x14ac:dyDescent="0.25">
      <c r="A83" t="s">
        <v>92</v>
      </c>
      <c r="B83" t="s">
        <v>212</v>
      </c>
      <c r="C83" t="s">
        <v>303</v>
      </c>
      <c r="D83" t="s">
        <v>315</v>
      </c>
      <c r="E83" t="s">
        <v>328</v>
      </c>
      <c r="F83">
        <v>3</v>
      </c>
      <c r="G83">
        <v>5000</v>
      </c>
      <c r="H83">
        <v>4000</v>
      </c>
      <c r="I83">
        <v>0</v>
      </c>
      <c r="J83" t="s">
        <v>334</v>
      </c>
      <c r="K83" t="s">
        <v>337</v>
      </c>
    </row>
    <row r="84" spans="1:11" x14ac:dyDescent="0.25">
      <c r="A84" t="s">
        <v>93</v>
      </c>
      <c r="B84" t="s">
        <v>213</v>
      </c>
      <c r="C84" t="s">
        <v>304</v>
      </c>
      <c r="D84" t="s">
        <v>316</v>
      </c>
      <c r="E84" t="s">
        <v>324</v>
      </c>
      <c r="F84">
        <v>4</v>
      </c>
      <c r="G84">
        <v>9000</v>
      </c>
      <c r="H84">
        <v>7600</v>
      </c>
      <c r="I84">
        <v>0</v>
      </c>
      <c r="J84" t="s">
        <v>333</v>
      </c>
      <c r="K84" t="s">
        <v>338</v>
      </c>
    </row>
    <row r="85" spans="1:11" x14ac:dyDescent="0.25">
      <c r="A85" t="s">
        <v>94</v>
      </c>
      <c r="B85" t="s">
        <v>214</v>
      </c>
      <c r="C85" t="s">
        <v>305</v>
      </c>
      <c r="D85" t="s">
        <v>321</v>
      </c>
      <c r="E85" t="s">
        <v>327</v>
      </c>
      <c r="F85">
        <v>7</v>
      </c>
      <c r="G85">
        <v>7500</v>
      </c>
      <c r="H85">
        <v>6300</v>
      </c>
      <c r="I85">
        <v>0</v>
      </c>
      <c r="J85" t="s">
        <v>334</v>
      </c>
      <c r="K85" t="s">
        <v>338</v>
      </c>
    </row>
    <row r="86" spans="1:11" x14ac:dyDescent="0.25">
      <c r="A86" t="s">
        <v>95</v>
      </c>
      <c r="B86" t="s">
        <v>215</v>
      </c>
      <c r="C86" t="s">
        <v>306</v>
      </c>
      <c r="D86" t="s">
        <v>321</v>
      </c>
      <c r="E86" t="s">
        <v>326</v>
      </c>
      <c r="F86">
        <v>6</v>
      </c>
      <c r="G86">
        <v>1800</v>
      </c>
      <c r="H86">
        <v>1400</v>
      </c>
      <c r="I86">
        <v>0</v>
      </c>
      <c r="J86" t="s">
        <v>331</v>
      </c>
      <c r="K86" t="s">
        <v>337</v>
      </c>
    </row>
    <row r="87" spans="1:11" x14ac:dyDescent="0.25">
      <c r="A87" t="s">
        <v>96</v>
      </c>
      <c r="B87" t="s">
        <v>216</v>
      </c>
      <c r="C87" t="s">
        <v>266</v>
      </c>
      <c r="D87" t="s">
        <v>319</v>
      </c>
      <c r="E87" t="s">
        <v>329</v>
      </c>
      <c r="F87">
        <v>6</v>
      </c>
      <c r="G87">
        <v>1200</v>
      </c>
      <c r="H87">
        <v>900</v>
      </c>
      <c r="I87">
        <v>0.1</v>
      </c>
      <c r="J87" t="s">
        <v>330</v>
      </c>
      <c r="K87" t="s">
        <v>338</v>
      </c>
    </row>
    <row r="88" spans="1:11" x14ac:dyDescent="0.25">
      <c r="A88" t="s">
        <v>97</v>
      </c>
      <c r="B88" t="s">
        <v>217</v>
      </c>
      <c r="C88" t="s">
        <v>307</v>
      </c>
      <c r="D88" t="s">
        <v>319</v>
      </c>
      <c r="E88" t="s">
        <v>328</v>
      </c>
      <c r="F88">
        <v>4</v>
      </c>
      <c r="G88">
        <v>5000</v>
      </c>
      <c r="H88">
        <v>4000</v>
      </c>
      <c r="I88">
        <v>0</v>
      </c>
      <c r="J88" t="s">
        <v>330</v>
      </c>
      <c r="K88" t="s">
        <v>339</v>
      </c>
    </row>
    <row r="89" spans="1:11" x14ac:dyDescent="0.25">
      <c r="A89" t="s">
        <v>98</v>
      </c>
      <c r="B89" t="s">
        <v>218</v>
      </c>
      <c r="C89" t="s">
        <v>308</v>
      </c>
      <c r="D89" t="s">
        <v>315</v>
      </c>
      <c r="E89" t="s">
        <v>323</v>
      </c>
      <c r="F89">
        <v>1</v>
      </c>
      <c r="G89">
        <v>9000</v>
      </c>
      <c r="H89">
        <v>7600</v>
      </c>
      <c r="I89">
        <v>0</v>
      </c>
      <c r="J89" t="s">
        <v>330</v>
      </c>
      <c r="K89" t="s">
        <v>339</v>
      </c>
    </row>
    <row r="90" spans="1:11" x14ac:dyDescent="0.25">
      <c r="A90" t="s">
        <v>99</v>
      </c>
      <c r="B90" t="s">
        <v>219</v>
      </c>
      <c r="C90" t="s">
        <v>266</v>
      </c>
      <c r="D90" t="s">
        <v>315</v>
      </c>
      <c r="E90" t="s">
        <v>326</v>
      </c>
      <c r="G90">
        <v>1800</v>
      </c>
      <c r="H90">
        <v>1400</v>
      </c>
      <c r="I90">
        <v>0</v>
      </c>
      <c r="J90" t="s">
        <v>332</v>
      </c>
      <c r="K90" t="s">
        <v>339</v>
      </c>
    </row>
    <row r="91" spans="1:11" x14ac:dyDescent="0.25">
      <c r="A91" t="s">
        <v>100</v>
      </c>
      <c r="B91" t="s">
        <v>220</v>
      </c>
      <c r="C91" t="s">
        <v>309</v>
      </c>
      <c r="D91" t="s">
        <v>316</v>
      </c>
      <c r="E91" t="s">
        <v>328</v>
      </c>
      <c r="F91">
        <v>7</v>
      </c>
      <c r="G91">
        <v>5000</v>
      </c>
      <c r="H91">
        <v>4000</v>
      </c>
      <c r="I91">
        <v>0</v>
      </c>
      <c r="J91" t="s">
        <v>333</v>
      </c>
      <c r="K91" t="s">
        <v>336</v>
      </c>
    </row>
    <row r="92" spans="1:11" x14ac:dyDescent="0.25">
      <c r="A92" t="s">
        <v>101</v>
      </c>
      <c r="B92" t="s">
        <v>221</v>
      </c>
      <c r="C92" t="s">
        <v>286</v>
      </c>
      <c r="D92" t="s">
        <v>316</v>
      </c>
      <c r="E92" t="s">
        <v>323</v>
      </c>
      <c r="F92">
        <v>1</v>
      </c>
      <c r="G92">
        <v>9000</v>
      </c>
      <c r="H92">
        <v>7600</v>
      </c>
      <c r="I92">
        <v>0</v>
      </c>
      <c r="J92" t="s">
        <v>331</v>
      </c>
      <c r="K92" t="s">
        <v>338</v>
      </c>
    </row>
    <row r="93" spans="1:11" x14ac:dyDescent="0.25">
      <c r="A93" t="s">
        <v>102</v>
      </c>
      <c r="B93" t="s">
        <v>222</v>
      </c>
      <c r="C93" t="s">
        <v>305</v>
      </c>
      <c r="D93" t="s">
        <v>318</v>
      </c>
      <c r="E93" t="s">
        <v>323</v>
      </c>
      <c r="F93">
        <v>7</v>
      </c>
      <c r="G93">
        <v>9000</v>
      </c>
      <c r="H93">
        <v>7600</v>
      </c>
      <c r="I93">
        <v>0.05</v>
      </c>
      <c r="J93" t="s">
        <v>333</v>
      </c>
      <c r="K93" t="s">
        <v>336</v>
      </c>
    </row>
    <row r="94" spans="1:11" x14ac:dyDescent="0.25">
      <c r="A94" t="s">
        <v>103</v>
      </c>
      <c r="B94" t="s">
        <v>223</v>
      </c>
      <c r="C94" t="s">
        <v>309</v>
      </c>
      <c r="D94" t="s">
        <v>319</v>
      </c>
      <c r="E94" t="s">
        <v>327</v>
      </c>
      <c r="F94">
        <v>5</v>
      </c>
      <c r="G94">
        <v>7500</v>
      </c>
      <c r="H94">
        <v>6300</v>
      </c>
      <c r="I94">
        <v>0</v>
      </c>
      <c r="J94" t="s">
        <v>330</v>
      </c>
      <c r="K94" t="s">
        <v>338</v>
      </c>
    </row>
    <row r="95" spans="1:11" x14ac:dyDescent="0.25">
      <c r="A95" t="s">
        <v>104</v>
      </c>
      <c r="B95" t="s">
        <v>224</v>
      </c>
      <c r="C95" t="s">
        <v>284</v>
      </c>
      <c r="D95" t="s">
        <v>317</v>
      </c>
      <c r="E95" t="s">
        <v>325</v>
      </c>
      <c r="F95">
        <v>2</v>
      </c>
      <c r="G95">
        <v>8500</v>
      </c>
      <c r="H95">
        <v>7000</v>
      </c>
      <c r="I95">
        <v>0.05</v>
      </c>
      <c r="J95" t="s">
        <v>334</v>
      </c>
      <c r="K95" t="s">
        <v>338</v>
      </c>
    </row>
    <row r="96" spans="1:11" x14ac:dyDescent="0.25">
      <c r="A96" t="s">
        <v>105</v>
      </c>
      <c r="B96" t="s">
        <v>225</v>
      </c>
      <c r="C96" t="s">
        <v>305</v>
      </c>
      <c r="D96" t="s">
        <v>318</v>
      </c>
      <c r="E96" t="s">
        <v>326</v>
      </c>
      <c r="F96">
        <v>6</v>
      </c>
      <c r="G96">
        <v>1800</v>
      </c>
      <c r="H96">
        <v>1400</v>
      </c>
      <c r="I96">
        <v>0</v>
      </c>
      <c r="J96" t="s">
        <v>334</v>
      </c>
      <c r="K96" t="s">
        <v>337</v>
      </c>
    </row>
    <row r="97" spans="1:11" x14ac:dyDescent="0.25">
      <c r="A97" t="s">
        <v>106</v>
      </c>
      <c r="B97" t="s">
        <v>226</v>
      </c>
      <c r="C97" t="s">
        <v>278</v>
      </c>
      <c r="D97" t="s">
        <v>317</v>
      </c>
      <c r="E97" t="s">
        <v>326</v>
      </c>
      <c r="F97">
        <v>6</v>
      </c>
      <c r="G97">
        <v>1800</v>
      </c>
      <c r="H97">
        <v>1400</v>
      </c>
      <c r="I97">
        <v>0.1</v>
      </c>
      <c r="J97" t="s">
        <v>330</v>
      </c>
      <c r="K97" t="s">
        <v>340</v>
      </c>
    </row>
    <row r="98" spans="1:11" x14ac:dyDescent="0.25">
      <c r="A98" t="s">
        <v>107</v>
      </c>
      <c r="B98" t="s">
        <v>227</v>
      </c>
      <c r="C98" t="s">
        <v>301</v>
      </c>
      <c r="D98" t="s">
        <v>321</v>
      </c>
      <c r="E98" t="s">
        <v>324</v>
      </c>
      <c r="F98">
        <v>1</v>
      </c>
      <c r="G98">
        <v>9000</v>
      </c>
      <c r="H98">
        <v>7600</v>
      </c>
      <c r="I98">
        <v>0</v>
      </c>
      <c r="J98" t="s">
        <v>331</v>
      </c>
      <c r="K98" t="s">
        <v>336</v>
      </c>
    </row>
    <row r="99" spans="1:11" x14ac:dyDescent="0.25">
      <c r="A99" t="s">
        <v>108</v>
      </c>
      <c r="B99" t="s">
        <v>228</v>
      </c>
      <c r="C99" t="s">
        <v>310</v>
      </c>
      <c r="D99" t="s">
        <v>319</v>
      </c>
      <c r="E99" t="s">
        <v>329</v>
      </c>
      <c r="F99">
        <v>1</v>
      </c>
      <c r="G99">
        <v>1200</v>
      </c>
      <c r="H99">
        <v>900</v>
      </c>
      <c r="I99">
        <v>0</v>
      </c>
      <c r="J99" t="s">
        <v>333</v>
      </c>
      <c r="K99" t="s">
        <v>339</v>
      </c>
    </row>
    <row r="100" spans="1:11" x14ac:dyDescent="0.25">
      <c r="A100" t="s">
        <v>109</v>
      </c>
      <c r="B100" t="s">
        <v>229</v>
      </c>
      <c r="C100" t="s">
        <v>306</v>
      </c>
      <c r="D100" t="s">
        <v>319</v>
      </c>
      <c r="E100" t="s">
        <v>322</v>
      </c>
      <c r="F100">
        <v>5</v>
      </c>
      <c r="G100">
        <v>8500</v>
      </c>
      <c r="H100">
        <v>7000</v>
      </c>
      <c r="I100">
        <v>0</v>
      </c>
      <c r="J100" t="s">
        <v>331</v>
      </c>
      <c r="K100" t="s">
        <v>337</v>
      </c>
    </row>
    <row r="101" spans="1:11" x14ac:dyDescent="0.25">
      <c r="A101" t="s">
        <v>110</v>
      </c>
      <c r="B101" t="s">
        <v>230</v>
      </c>
      <c r="C101" t="s">
        <v>282</v>
      </c>
      <c r="D101" t="s">
        <v>321</v>
      </c>
      <c r="E101" t="s">
        <v>325</v>
      </c>
      <c r="F101">
        <v>7</v>
      </c>
      <c r="G101">
        <v>8500</v>
      </c>
      <c r="H101">
        <v>7000</v>
      </c>
      <c r="I101">
        <v>0</v>
      </c>
      <c r="J101" t="s">
        <v>334</v>
      </c>
      <c r="K101" t="s">
        <v>337</v>
      </c>
    </row>
    <row r="102" spans="1:11" x14ac:dyDescent="0.25">
      <c r="A102" t="s">
        <v>111</v>
      </c>
      <c r="B102" t="s">
        <v>231</v>
      </c>
      <c r="C102" t="s">
        <v>276</v>
      </c>
      <c r="D102" t="s">
        <v>316</v>
      </c>
      <c r="E102" t="s">
        <v>329</v>
      </c>
      <c r="F102">
        <v>1</v>
      </c>
      <c r="G102">
        <v>1200</v>
      </c>
      <c r="H102">
        <v>900</v>
      </c>
      <c r="I102">
        <v>0.05</v>
      </c>
      <c r="J102" t="s">
        <v>334</v>
      </c>
      <c r="K102" t="s">
        <v>339</v>
      </c>
    </row>
    <row r="103" spans="1:11" x14ac:dyDescent="0.25">
      <c r="A103" t="s">
        <v>112</v>
      </c>
      <c r="B103" t="s">
        <v>232</v>
      </c>
      <c r="C103" t="s">
        <v>304</v>
      </c>
      <c r="D103" t="s">
        <v>319</v>
      </c>
      <c r="E103" t="s">
        <v>324</v>
      </c>
      <c r="F103">
        <v>5</v>
      </c>
      <c r="G103">
        <v>9000</v>
      </c>
      <c r="H103">
        <v>7600</v>
      </c>
      <c r="J103" t="s">
        <v>331</v>
      </c>
      <c r="K103" t="s">
        <v>336</v>
      </c>
    </row>
    <row r="104" spans="1:11" x14ac:dyDescent="0.25">
      <c r="A104" t="s">
        <v>113</v>
      </c>
      <c r="B104" t="s">
        <v>233</v>
      </c>
      <c r="C104" t="s">
        <v>305</v>
      </c>
      <c r="D104" t="s">
        <v>316</v>
      </c>
      <c r="E104" t="s">
        <v>329</v>
      </c>
      <c r="F104">
        <v>1</v>
      </c>
      <c r="G104">
        <v>1200</v>
      </c>
      <c r="H104">
        <v>900</v>
      </c>
      <c r="I104">
        <v>0.1</v>
      </c>
      <c r="J104" t="s">
        <v>334</v>
      </c>
      <c r="K104" t="s">
        <v>337</v>
      </c>
    </row>
    <row r="105" spans="1:11" x14ac:dyDescent="0.25">
      <c r="A105" t="s">
        <v>114</v>
      </c>
      <c r="B105" t="s">
        <v>234</v>
      </c>
      <c r="C105" t="s">
        <v>297</v>
      </c>
      <c r="D105" t="s">
        <v>316</v>
      </c>
      <c r="E105" t="s">
        <v>327</v>
      </c>
      <c r="F105">
        <v>5</v>
      </c>
      <c r="G105">
        <v>7500</v>
      </c>
      <c r="H105">
        <v>6300</v>
      </c>
      <c r="I105">
        <v>0</v>
      </c>
      <c r="J105" t="s">
        <v>334</v>
      </c>
      <c r="K105" t="s">
        <v>337</v>
      </c>
    </row>
    <row r="106" spans="1:11" x14ac:dyDescent="0.25">
      <c r="A106" t="s">
        <v>115</v>
      </c>
      <c r="B106" t="s">
        <v>235</v>
      </c>
      <c r="C106" t="s">
        <v>252</v>
      </c>
      <c r="D106" t="s">
        <v>321</v>
      </c>
      <c r="E106" t="s">
        <v>325</v>
      </c>
      <c r="F106">
        <v>5</v>
      </c>
      <c r="G106">
        <v>8500</v>
      </c>
      <c r="H106">
        <v>7000</v>
      </c>
      <c r="I106">
        <v>0</v>
      </c>
      <c r="J106" t="s">
        <v>333</v>
      </c>
      <c r="K106" t="s">
        <v>337</v>
      </c>
    </row>
    <row r="107" spans="1:11" x14ac:dyDescent="0.25">
      <c r="A107" t="s">
        <v>116</v>
      </c>
      <c r="B107" t="s">
        <v>236</v>
      </c>
      <c r="C107" t="s">
        <v>266</v>
      </c>
      <c r="D107" t="s">
        <v>319</v>
      </c>
      <c r="E107" t="s">
        <v>323</v>
      </c>
      <c r="F107">
        <v>1</v>
      </c>
      <c r="G107">
        <v>9000</v>
      </c>
      <c r="H107">
        <v>7600</v>
      </c>
      <c r="I107">
        <v>0</v>
      </c>
      <c r="J107" t="s">
        <v>331</v>
      </c>
      <c r="K107" t="s">
        <v>339</v>
      </c>
    </row>
    <row r="108" spans="1:11" x14ac:dyDescent="0.25">
      <c r="A108" t="s">
        <v>117</v>
      </c>
      <c r="B108" t="s">
        <v>237</v>
      </c>
      <c r="C108" t="s">
        <v>265</v>
      </c>
      <c r="D108" t="s">
        <v>321</v>
      </c>
      <c r="E108" t="s">
        <v>324</v>
      </c>
      <c r="F108">
        <v>5</v>
      </c>
      <c r="G108">
        <v>9000</v>
      </c>
      <c r="H108">
        <v>7600</v>
      </c>
      <c r="I108">
        <v>0.1</v>
      </c>
      <c r="J108" t="s">
        <v>332</v>
      </c>
      <c r="K108" t="s">
        <v>337</v>
      </c>
    </row>
    <row r="109" spans="1:11" x14ac:dyDescent="0.25">
      <c r="A109" t="s">
        <v>118</v>
      </c>
      <c r="B109" t="s">
        <v>238</v>
      </c>
      <c r="C109" t="s">
        <v>292</v>
      </c>
      <c r="D109" t="s">
        <v>321</v>
      </c>
      <c r="E109" t="s">
        <v>326</v>
      </c>
      <c r="F109">
        <v>7</v>
      </c>
      <c r="G109">
        <v>1800</v>
      </c>
      <c r="H109">
        <v>1400</v>
      </c>
      <c r="I109">
        <v>0</v>
      </c>
      <c r="J109" t="s">
        <v>334</v>
      </c>
      <c r="K109" t="s">
        <v>339</v>
      </c>
    </row>
    <row r="110" spans="1:11" x14ac:dyDescent="0.25">
      <c r="A110" t="s">
        <v>119</v>
      </c>
      <c r="B110" t="s">
        <v>239</v>
      </c>
      <c r="C110" t="s">
        <v>311</v>
      </c>
      <c r="D110" t="s">
        <v>319</v>
      </c>
      <c r="E110" t="s">
        <v>324</v>
      </c>
      <c r="F110">
        <v>7</v>
      </c>
      <c r="G110">
        <v>9000</v>
      </c>
      <c r="H110">
        <v>7600</v>
      </c>
      <c r="I110">
        <v>0.1</v>
      </c>
      <c r="J110" t="s">
        <v>331</v>
      </c>
      <c r="K110" t="s">
        <v>339</v>
      </c>
    </row>
    <row r="111" spans="1:11" x14ac:dyDescent="0.25">
      <c r="A111" t="s">
        <v>120</v>
      </c>
      <c r="B111" t="s">
        <v>240</v>
      </c>
      <c r="C111" t="s">
        <v>294</v>
      </c>
      <c r="D111" t="s">
        <v>315</v>
      </c>
      <c r="E111" t="s">
        <v>323</v>
      </c>
      <c r="F111">
        <v>1</v>
      </c>
      <c r="G111">
        <v>9000</v>
      </c>
      <c r="H111">
        <v>7600</v>
      </c>
      <c r="I111">
        <v>0</v>
      </c>
      <c r="J111" t="s">
        <v>331</v>
      </c>
      <c r="K111" t="s">
        <v>339</v>
      </c>
    </row>
    <row r="112" spans="1:11" x14ac:dyDescent="0.25">
      <c r="A112" t="s">
        <v>121</v>
      </c>
      <c r="B112" t="s">
        <v>241</v>
      </c>
      <c r="C112" t="s">
        <v>312</v>
      </c>
      <c r="D112" t="s">
        <v>316</v>
      </c>
      <c r="E112" t="s">
        <v>329</v>
      </c>
      <c r="F112">
        <v>2</v>
      </c>
      <c r="G112">
        <v>1200</v>
      </c>
      <c r="H112">
        <v>900</v>
      </c>
      <c r="I112">
        <v>0</v>
      </c>
      <c r="J112" t="s">
        <v>331</v>
      </c>
      <c r="K112" t="s">
        <v>336</v>
      </c>
    </row>
    <row r="113" spans="1:11" x14ac:dyDescent="0.25">
      <c r="A113" t="s">
        <v>122</v>
      </c>
      <c r="B113" t="s">
        <v>242</v>
      </c>
      <c r="C113" t="s">
        <v>265</v>
      </c>
      <c r="D113" t="s">
        <v>315</v>
      </c>
      <c r="E113" t="s">
        <v>322</v>
      </c>
      <c r="F113">
        <v>2</v>
      </c>
      <c r="G113">
        <v>8500</v>
      </c>
      <c r="H113">
        <v>7000</v>
      </c>
      <c r="I113">
        <v>0</v>
      </c>
      <c r="J113" t="s">
        <v>331</v>
      </c>
      <c r="K113" t="s">
        <v>339</v>
      </c>
    </row>
    <row r="114" spans="1:11" x14ac:dyDescent="0.25">
      <c r="A114" t="s">
        <v>123</v>
      </c>
      <c r="B114" t="s">
        <v>243</v>
      </c>
      <c r="C114" t="s">
        <v>313</v>
      </c>
      <c r="D114" t="s">
        <v>319</v>
      </c>
      <c r="E114" t="s">
        <v>327</v>
      </c>
      <c r="F114">
        <v>4</v>
      </c>
      <c r="G114">
        <v>7500</v>
      </c>
      <c r="H114">
        <v>6300</v>
      </c>
      <c r="I114">
        <v>0.05</v>
      </c>
      <c r="J114" t="s">
        <v>330</v>
      </c>
      <c r="K114" t="s">
        <v>336</v>
      </c>
    </row>
    <row r="115" spans="1:11" x14ac:dyDescent="0.25">
      <c r="A115" t="s">
        <v>124</v>
      </c>
      <c r="B115" t="s">
        <v>244</v>
      </c>
      <c r="C115" t="s">
        <v>255</v>
      </c>
      <c r="D115" t="s">
        <v>318</v>
      </c>
      <c r="E115" t="s">
        <v>327</v>
      </c>
      <c r="F115">
        <v>2</v>
      </c>
      <c r="G115">
        <v>7500</v>
      </c>
      <c r="H115">
        <v>6300</v>
      </c>
      <c r="I115">
        <v>0</v>
      </c>
      <c r="J115" t="s">
        <v>331</v>
      </c>
      <c r="K115" t="s">
        <v>336</v>
      </c>
    </row>
    <row r="116" spans="1:11" x14ac:dyDescent="0.25">
      <c r="A116" t="s">
        <v>125</v>
      </c>
      <c r="B116" t="s">
        <v>245</v>
      </c>
      <c r="C116" t="s">
        <v>314</v>
      </c>
      <c r="D116" t="s">
        <v>321</v>
      </c>
      <c r="E116" t="s">
        <v>329</v>
      </c>
      <c r="F116">
        <v>6</v>
      </c>
      <c r="G116">
        <v>1200</v>
      </c>
      <c r="H116">
        <v>900</v>
      </c>
      <c r="I116">
        <v>0.05</v>
      </c>
      <c r="J116" t="s">
        <v>330</v>
      </c>
      <c r="K116" t="s">
        <v>338</v>
      </c>
    </row>
    <row r="117" spans="1:11" x14ac:dyDescent="0.25">
      <c r="A117" t="s">
        <v>126</v>
      </c>
      <c r="B117" t="s">
        <v>246</v>
      </c>
      <c r="C117" t="s">
        <v>290</v>
      </c>
      <c r="D117" t="s">
        <v>321</v>
      </c>
      <c r="E117" t="s">
        <v>322</v>
      </c>
      <c r="F117">
        <v>6</v>
      </c>
      <c r="G117">
        <v>8500</v>
      </c>
      <c r="H117">
        <v>7000</v>
      </c>
      <c r="I117">
        <v>0.05</v>
      </c>
      <c r="J117" t="s">
        <v>331</v>
      </c>
      <c r="K117" t="s">
        <v>336</v>
      </c>
    </row>
    <row r="118" spans="1:11" x14ac:dyDescent="0.25">
      <c r="A118" t="s">
        <v>127</v>
      </c>
      <c r="B118" t="s">
        <v>247</v>
      </c>
      <c r="C118" t="s">
        <v>260</v>
      </c>
      <c r="D118" t="s">
        <v>315</v>
      </c>
      <c r="E118" t="s">
        <v>322</v>
      </c>
      <c r="F118">
        <v>6</v>
      </c>
      <c r="G118">
        <v>8500</v>
      </c>
      <c r="H118">
        <v>7000</v>
      </c>
      <c r="I118">
        <v>0</v>
      </c>
      <c r="J118" t="s">
        <v>333</v>
      </c>
      <c r="K118" t="s">
        <v>339</v>
      </c>
    </row>
    <row r="119" spans="1:11" x14ac:dyDescent="0.25">
      <c r="A119" t="s">
        <v>128</v>
      </c>
      <c r="B119" t="s">
        <v>248</v>
      </c>
      <c r="C119" t="s">
        <v>304</v>
      </c>
      <c r="D119" t="s">
        <v>321</v>
      </c>
      <c r="E119" t="s">
        <v>325</v>
      </c>
      <c r="F119">
        <v>2</v>
      </c>
      <c r="G119">
        <v>8500</v>
      </c>
      <c r="H119">
        <v>7000</v>
      </c>
      <c r="I119">
        <v>0.05</v>
      </c>
      <c r="J119" t="s">
        <v>332</v>
      </c>
      <c r="K119" t="s">
        <v>339</v>
      </c>
    </row>
    <row r="120" spans="1:11" x14ac:dyDescent="0.25">
      <c r="A120" t="s">
        <v>129</v>
      </c>
      <c r="B120" t="s">
        <v>249</v>
      </c>
      <c r="C120" t="s">
        <v>278</v>
      </c>
      <c r="D120" t="s">
        <v>315</v>
      </c>
      <c r="E120" t="s">
        <v>329</v>
      </c>
      <c r="F120">
        <v>1</v>
      </c>
      <c r="G120">
        <v>1200</v>
      </c>
      <c r="H120">
        <v>900</v>
      </c>
      <c r="I120">
        <v>0.1</v>
      </c>
      <c r="J120" t="s">
        <v>332</v>
      </c>
      <c r="K120" t="s">
        <v>340</v>
      </c>
    </row>
    <row r="121" spans="1:11" x14ac:dyDescent="0.25">
      <c r="A121" t="s">
        <v>130</v>
      </c>
      <c r="B121" t="s">
        <v>250</v>
      </c>
      <c r="C121" t="s">
        <v>298</v>
      </c>
      <c r="D121" t="s">
        <v>317</v>
      </c>
      <c r="E121" t="s">
        <v>325</v>
      </c>
      <c r="F121">
        <v>7</v>
      </c>
      <c r="G121">
        <v>8500</v>
      </c>
      <c r="H121">
        <v>7000</v>
      </c>
      <c r="I121">
        <v>0</v>
      </c>
      <c r="J121" t="s">
        <v>332</v>
      </c>
      <c r="K121" t="s">
        <v>339</v>
      </c>
    </row>
    <row r="122" spans="1:11" x14ac:dyDescent="0.25">
      <c r="A122" t="s">
        <v>36</v>
      </c>
      <c r="B122" t="s">
        <v>156</v>
      </c>
      <c r="C122" t="s">
        <v>274</v>
      </c>
      <c r="D122" t="s">
        <v>316</v>
      </c>
      <c r="E122" t="s">
        <v>325</v>
      </c>
      <c r="F122">
        <v>3</v>
      </c>
      <c r="G122">
        <v>8500</v>
      </c>
      <c r="H122">
        <v>7000</v>
      </c>
      <c r="I122">
        <v>0.05</v>
      </c>
      <c r="J122" t="s">
        <v>333</v>
      </c>
      <c r="K122" t="s">
        <v>340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WireFraming</vt:lpstr>
      <vt:lpstr>Pivot Table </vt:lpstr>
      <vt:lpstr>Calculated_Columns</vt:lpstr>
      <vt:lpstr>Cleaned_Data</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Isaac Falabi</cp:lastModifiedBy>
  <dcterms:created xsi:type="dcterms:W3CDTF">2026-07-28T11:31:55Z</dcterms:created>
  <dcterms:modified xsi:type="dcterms:W3CDTF">2026-10-05T11:57:31Z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0-bc88714345d2_Enabled">
    <vt:lpwstr>true</vt:lpwstr>
  </property>
  <property fmtid="{D5CDD505-2E9C-101B-9397-08002B2CF9AE}" pid="3" name="MSIP_Label_defa4170-0d19-0005-0000-bc88714345d2_SetDate">
    <vt:lpwstr>2026-07-29T15:21:53Z</vt:lpwstr>
  </property>
  <property fmtid="{D5CDD505-2E9C-101B-9397-08002B2CF9AE}" pid="4" name="MSIP_Label_defa4170-0d19-0005-0000-bc88714345d2_Method">
    <vt:lpwstr>Privileged</vt:lpwstr>
  </property>
  <property fmtid="{D5CDD505-2E9C-101B-9397-08002B2CF9AE}" pid="5" name="MSIP_Label_defa4170-0d19-0005-0000-bc88714345d2_Name">
    <vt:lpwstr>defa4170-0d19-0005-0000-bc88714345d2</vt:lpwstr>
  </property>
  <property fmtid="{D5CDD505-2E9C-101B-9397-08002B2CF9AE}" pid="6" name="MSIP_Label_defa4170-0d19-0005-0000-bc88714345d2_SiteId">
    <vt:lpwstr>4ba5d275-2513-4bf9-a8d4-bb5751758ae7</vt:lpwstr>
  </property>
  <property fmtid="{D5CDD505-2E9C-101B-9397-08002B2CF9AE}" pid="7" name="MSIP_Label_defa4170-0d19-0005-0000-bc88714345d2_ActionId">
    <vt:lpwstr>cfd46a68-f19f-4cc2-abed-2a6f0f4b65a2</vt:lpwstr>
  </property>
  <property fmtid="{D5CDD505-2E9C-101B-9397-08002B2CF9AE}" pid="8" name="MSIP_Label_defa4170-0d19-0005-0000-bc88714345d2_ContentBits">
    <vt:lpwstr>0</vt:lpwstr>
  </property>
  <property fmtid="{D5CDD505-2E9C-101B-9397-08002B2CF9AE}" pid="9" name="MSIP_Label_defa4170-0d19-0005-0000-bc88714345d2_Tag">
    <vt:lpwstr>10, 0, 1, 1</vt:lpwstr>
  </property>
</Properties>
</file>